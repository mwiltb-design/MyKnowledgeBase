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wiltbank\MyKnowledgeBase\GeneralKnowledge\Artistic_Stone_Masonry\"/>
    </mc:Choice>
  </mc:AlternateContent>
  <xr:revisionPtr revIDLastSave="0" documentId="8_{5C0037F8-6A9E-46C3-A119-B8567042B3C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one " sheetId="1" r:id="rId1"/>
    <sheet name="Gym" sheetId="3" r:id="rId2"/>
    <sheet name="SHop" sheetId="5" r:id="rId3"/>
    <sheet name="Pool House" sheetId="4" r:id="rId4"/>
    <sheet name="fireplac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8" i="5" l="1"/>
  <c r="AC235" i="5"/>
  <c r="S235" i="5"/>
  <c r="AD234" i="5"/>
  <c r="AD235" i="5" s="1"/>
  <c r="AC234" i="5"/>
  <c r="AB234" i="5"/>
  <c r="AB235" i="5" s="1"/>
  <c r="AA234" i="5"/>
  <c r="AA235" i="5" s="1"/>
  <c r="Z234" i="5"/>
  <c r="Z235" i="5" s="1"/>
  <c r="S234" i="5"/>
  <c r="R234" i="5"/>
  <c r="R235" i="5" s="1"/>
  <c r="Q234" i="5"/>
  <c r="Q235" i="5" s="1"/>
  <c r="P234" i="5"/>
  <c r="P235" i="5" s="1"/>
  <c r="O234" i="5"/>
  <c r="N234" i="5"/>
  <c r="J234" i="5"/>
  <c r="AG233" i="5"/>
  <c r="Y233" i="5"/>
  <c r="V233" i="5"/>
  <c r="M233" i="5"/>
  <c r="I233" i="5"/>
  <c r="F233" i="5"/>
  <c r="H233" i="5" s="1"/>
  <c r="D233" i="5"/>
  <c r="AG232" i="5"/>
  <c r="Y232" i="5"/>
  <c r="V232" i="5"/>
  <c r="M232" i="5"/>
  <c r="I232" i="5"/>
  <c r="F232" i="5"/>
  <c r="H232" i="5" s="1"/>
  <c r="D232" i="5"/>
  <c r="AG231" i="5"/>
  <c r="Y231" i="5"/>
  <c r="V231" i="5"/>
  <c r="M231" i="5"/>
  <c r="I231" i="5"/>
  <c r="F231" i="5"/>
  <c r="H231" i="5" s="1"/>
  <c r="D231" i="5"/>
  <c r="AG230" i="5"/>
  <c r="Y230" i="5"/>
  <c r="V230" i="5"/>
  <c r="M230" i="5"/>
  <c r="I230" i="5"/>
  <c r="F230" i="5"/>
  <c r="D230" i="5"/>
  <c r="AG229" i="5"/>
  <c r="Y229" i="5"/>
  <c r="V229" i="5"/>
  <c r="M229" i="5"/>
  <c r="I229" i="5"/>
  <c r="F229" i="5"/>
  <c r="D229" i="5"/>
  <c r="AG228" i="5"/>
  <c r="Y228" i="5"/>
  <c r="V228" i="5"/>
  <c r="M228" i="5"/>
  <c r="I228" i="5"/>
  <c r="F228" i="5"/>
  <c r="D228" i="5"/>
  <c r="AG227" i="5"/>
  <c r="Y227" i="5"/>
  <c r="V227" i="5"/>
  <c r="M227" i="5"/>
  <c r="I227" i="5"/>
  <c r="F227" i="5"/>
  <c r="D227" i="5"/>
  <c r="AG226" i="5"/>
  <c r="Y226" i="5"/>
  <c r="V226" i="5"/>
  <c r="M226" i="5"/>
  <c r="I226" i="5"/>
  <c r="F226" i="5"/>
  <c r="D226" i="5"/>
  <c r="AG225" i="5"/>
  <c r="Y225" i="5"/>
  <c r="V225" i="5"/>
  <c r="M225" i="5"/>
  <c r="I225" i="5"/>
  <c r="F225" i="5"/>
  <c r="D225" i="5"/>
  <c r="AG224" i="5"/>
  <c r="Y224" i="5"/>
  <c r="V224" i="5"/>
  <c r="M224" i="5"/>
  <c r="I224" i="5"/>
  <c r="F224" i="5"/>
  <c r="D224" i="5"/>
  <c r="AG223" i="5"/>
  <c r="Y223" i="5"/>
  <c r="V223" i="5"/>
  <c r="M223" i="5"/>
  <c r="F223" i="5"/>
  <c r="D223" i="5"/>
  <c r="B240" i="5" s="1"/>
  <c r="AG222" i="5"/>
  <c r="Y222" i="5"/>
  <c r="V222" i="5"/>
  <c r="M222" i="5"/>
  <c r="I222" i="5"/>
  <c r="F222" i="5"/>
  <c r="D222" i="5"/>
  <c r="B239" i="5" s="1"/>
  <c r="D239" i="5" s="1"/>
  <c r="AG221" i="5"/>
  <c r="Y221" i="5"/>
  <c r="V221" i="5"/>
  <c r="M221" i="5"/>
  <c r="I221" i="5"/>
  <c r="F221" i="5"/>
  <c r="D221" i="5"/>
  <c r="AG220" i="5"/>
  <c r="Y220" i="5"/>
  <c r="V220" i="5"/>
  <c r="M220" i="5"/>
  <c r="I220" i="5"/>
  <c r="F220" i="5"/>
  <c r="D220" i="5"/>
  <c r="AG219" i="5"/>
  <c r="Y219" i="5"/>
  <c r="V219" i="5"/>
  <c r="M219" i="5"/>
  <c r="I219" i="5"/>
  <c r="F219" i="5"/>
  <c r="D219" i="5"/>
  <c r="AG218" i="5"/>
  <c r="Y218" i="5"/>
  <c r="V218" i="5"/>
  <c r="M218" i="5"/>
  <c r="I218" i="5"/>
  <c r="F218" i="5"/>
  <c r="D218" i="5"/>
  <c r="AG217" i="5"/>
  <c r="Y217" i="5"/>
  <c r="V217" i="5"/>
  <c r="M217" i="5"/>
  <c r="I217" i="5"/>
  <c r="F217" i="5"/>
  <c r="D217" i="5"/>
  <c r="AG216" i="5"/>
  <c r="Y216" i="5"/>
  <c r="V216" i="5"/>
  <c r="M216" i="5"/>
  <c r="I216" i="5"/>
  <c r="F216" i="5"/>
  <c r="D216" i="5"/>
  <c r="V215" i="5"/>
  <c r="M215" i="5"/>
  <c r="F215" i="5"/>
  <c r="D215" i="5"/>
  <c r="AG214" i="5"/>
  <c r="Y214" i="5"/>
  <c r="V214" i="5"/>
  <c r="M214" i="5"/>
  <c r="I214" i="5"/>
  <c r="F214" i="5"/>
  <c r="D214" i="5"/>
  <c r="AG213" i="5"/>
  <c r="AG234" i="5" s="1"/>
  <c r="Y213" i="5"/>
  <c r="Y234" i="5" s="1"/>
  <c r="Y235" i="5" s="1"/>
  <c r="V213" i="5"/>
  <c r="M213" i="5"/>
  <c r="M234" i="5" s="1"/>
  <c r="M235" i="5" s="1"/>
  <c r="I213" i="5"/>
  <c r="F213" i="5"/>
  <c r="D213" i="5"/>
  <c r="I249" i="3"/>
  <c r="H248" i="3"/>
  <c r="I248" i="3" s="1"/>
  <c r="H247" i="3"/>
  <c r="I247" i="3" s="1"/>
  <c r="H246" i="3"/>
  <c r="I246" i="3" s="1"/>
  <c r="B244" i="3"/>
  <c r="D241" i="3"/>
  <c r="D240" i="3"/>
  <c r="D239" i="3"/>
  <c r="P235" i="3"/>
  <c r="P236" i="3" s="1"/>
  <c r="O235" i="3"/>
  <c r="O236" i="3" s="1"/>
  <c r="N235" i="3"/>
  <c r="N236" i="3" s="1"/>
  <c r="M235" i="3"/>
  <c r="M236" i="3" s="1"/>
  <c r="L235" i="3"/>
  <c r="K235" i="3"/>
  <c r="J235" i="3"/>
  <c r="V234" i="3"/>
  <c r="S234" i="3"/>
  <c r="I234" i="3"/>
  <c r="F234" i="3"/>
  <c r="H234" i="3" s="1"/>
  <c r="D234" i="3"/>
  <c r="V233" i="3"/>
  <c r="S233" i="3"/>
  <c r="I233" i="3"/>
  <c r="F233" i="3"/>
  <c r="H233" i="3" s="1"/>
  <c r="D233" i="3"/>
  <c r="V232" i="3"/>
  <c r="S232" i="3"/>
  <c r="I232" i="3"/>
  <c r="H232" i="3"/>
  <c r="F232" i="3"/>
  <c r="D232" i="3"/>
  <c r="V231" i="3"/>
  <c r="S231" i="3"/>
  <c r="I231" i="3"/>
  <c r="F231" i="3"/>
  <c r="D231" i="3"/>
  <c r="V230" i="3"/>
  <c r="S230" i="3"/>
  <c r="I230" i="3"/>
  <c r="F230" i="3"/>
  <c r="D230" i="3"/>
  <c r="V229" i="3"/>
  <c r="S229" i="3"/>
  <c r="I229" i="3"/>
  <c r="F229" i="3"/>
  <c r="D229" i="3"/>
  <c r="V228" i="3"/>
  <c r="S228" i="3"/>
  <c r="I228" i="3"/>
  <c r="F228" i="3"/>
  <c r="D228" i="3"/>
  <c r="V227" i="3"/>
  <c r="S227" i="3"/>
  <c r="I227" i="3"/>
  <c r="F227" i="3"/>
  <c r="D227" i="3"/>
  <c r="V226" i="3"/>
  <c r="S226" i="3"/>
  <c r="I226" i="3"/>
  <c r="F226" i="3"/>
  <c r="D226" i="3"/>
  <c r="V225" i="3"/>
  <c r="S225" i="3"/>
  <c r="I225" i="3"/>
  <c r="F225" i="3"/>
  <c r="D225" i="3"/>
  <c r="V224" i="3"/>
  <c r="S224" i="3"/>
  <c r="I224" i="3"/>
  <c r="F224" i="3"/>
  <c r="D224" i="3"/>
  <c r="V223" i="3"/>
  <c r="S223" i="3"/>
  <c r="I223" i="3"/>
  <c r="F223" i="3"/>
  <c r="D223" i="3"/>
  <c r="V222" i="3"/>
  <c r="S222" i="3"/>
  <c r="I222" i="3"/>
  <c r="F222" i="3"/>
  <c r="D222" i="3"/>
  <c r="V221" i="3"/>
  <c r="S221" i="3"/>
  <c r="I221" i="3"/>
  <c r="F221" i="3"/>
  <c r="D221" i="3"/>
  <c r="V220" i="3"/>
  <c r="S220" i="3"/>
  <c r="I220" i="3"/>
  <c r="F220" i="3"/>
  <c r="D220" i="3"/>
  <c r="V219" i="3"/>
  <c r="S219" i="3"/>
  <c r="I219" i="3"/>
  <c r="F219" i="3"/>
  <c r="D219" i="3"/>
  <c r="V218" i="3"/>
  <c r="S218" i="3"/>
  <c r="I218" i="3"/>
  <c r="F218" i="3"/>
  <c r="D218" i="3"/>
  <c r="V217" i="3"/>
  <c r="S217" i="3"/>
  <c r="I217" i="3"/>
  <c r="F217" i="3"/>
  <c r="D217" i="3"/>
  <c r="V216" i="3"/>
  <c r="S216" i="3"/>
  <c r="I216" i="3"/>
  <c r="F216" i="3"/>
  <c r="D216" i="3"/>
  <c r="S215" i="3"/>
  <c r="I215" i="3"/>
  <c r="F215" i="3"/>
  <c r="D215" i="3"/>
  <c r="V214" i="3"/>
  <c r="S214" i="3"/>
  <c r="I214" i="3"/>
  <c r="F214" i="3"/>
  <c r="D214" i="3"/>
  <c r="V213" i="3"/>
  <c r="S213" i="3"/>
  <c r="B248" i="3"/>
  <c r="I213" i="3"/>
  <c r="F213" i="3"/>
  <c r="D213" i="3"/>
  <c r="D238" i="4"/>
  <c r="D237" i="4"/>
  <c r="D236" i="4"/>
  <c r="D235" i="4"/>
  <c r="D234" i="4"/>
  <c r="V208" i="4"/>
  <c r="H214" i="4"/>
  <c r="B218" i="4"/>
  <c r="B223" i="4" s="1"/>
  <c r="F211" i="4"/>
  <c r="F210" i="4"/>
  <c r="D211" i="4"/>
  <c r="D210" i="4"/>
  <c r="H208" i="4"/>
  <c r="D205" i="4"/>
  <c r="D203" i="4"/>
  <c r="D220" i="4"/>
  <c r="D219" i="4"/>
  <c r="D218" i="4"/>
  <c r="AA214" i="4"/>
  <c r="AA215" i="4" s="1"/>
  <c r="Z214" i="4"/>
  <c r="Z215" i="4" s="1"/>
  <c r="Y214" i="4"/>
  <c r="Y215" i="4" s="1"/>
  <c r="X214" i="4"/>
  <c r="X215" i="4" s="1"/>
  <c r="W214" i="4"/>
  <c r="W215" i="4" s="1"/>
  <c r="P214" i="4"/>
  <c r="P215" i="4" s="1"/>
  <c r="O214" i="4"/>
  <c r="O215" i="4" s="1"/>
  <c r="N214" i="4"/>
  <c r="N215" i="4" s="1"/>
  <c r="M214" i="4"/>
  <c r="M215" i="4" s="1"/>
  <c r="L214" i="4"/>
  <c r="K214" i="4"/>
  <c r="K215" i="4" s="1"/>
  <c r="J214" i="4"/>
  <c r="V213" i="4"/>
  <c r="S213" i="4"/>
  <c r="I213" i="4"/>
  <c r="F213" i="4"/>
  <c r="H213" i="4" s="1"/>
  <c r="D213" i="4"/>
  <c r="V209" i="4"/>
  <c r="S209" i="4"/>
  <c r="F209" i="4"/>
  <c r="D209" i="4"/>
  <c r="F208" i="4"/>
  <c r="D208" i="4"/>
  <c r="V207" i="4"/>
  <c r="S207" i="4"/>
  <c r="F207" i="4"/>
  <c r="D207" i="4"/>
  <c r="V206" i="4"/>
  <c r="S206" i="4"/>
  <c r="I206" i="4"/>
  <c r="F206" i="4"/>
  <c r="D206" i="4"/>
  <c r="V205" i="4"/>
  <c r="S205" i="4"/>
  <c r="F205" i="4"/>
  <c r="V204" i="4"/>
  <c r="S204" i="4"/>
  <c r="I204" i="4"/>
  <c r="F204" i="4"/>
  <c r="D204" i="4"/>
  <c r="V203" i="4"/>
  <c r="S203" i="4"/>
  <c r="F203" i="4"/>
  <c r="V202" i="4"/>
  <c r="S202" i="4"/>
  <c r="I202" i="4"/>
  <c r="F202" i="4"/>
  <c r="D202" i="4"/>
  <c r="B36" i="5"/>
  <c r="B37" i="5"/>
  <c r="D182" i="4"/>
  <c r="D181" i="4"/>
  <c r="D180" i="4"/>
  <c r="D179" i="4"/>
  <c r="D178" i="4"/>
  <c r="E170" i="4"/>
  <c r="E169" i="4"/>
  <c r="E168" i="4"/>
  <c r="E167" i="4"/>
  <c r="D150" i="4"/>
  <c r="D149" i="4"/>
  <c r="D148" i="4"/>
  <c r="D147" i="4"/>
  <c r="D146" i="4"/>
  <c r="D129" i="4"/>
  <c r="D128" i="4"/>
  <c r="D127" i="4"/>
  <c r="D126" i="4"/>
  <c r="D125" i="4"/>
  <c r="C122" i="4"/>
  <c r="C123" i="4" s="1"/>
  <c r="C124" i="4" s="1"/>
  <c r="B111" i="4"/>
  <c r="D108" i="4"/>
  <c r="D107" i="4"/>
  <c r="D106" i="4"/>
  <c r="D105" i="4"/>
  <c r="D104" i="4"/>
  <c r="D87" i="4"/>
  <c r="D86" i="4"/>
  <c r="D85" i="4"/>
  <c r="D84" i="4"/>
  <c r="D83" i="4"/>
  <c r="B69" i="4"/>
  <c r="D66" i="4"/>
  <c r="D65" i="4"/>
  <c r="D64" i="4"/>
  <c r="D63" i="4"/>
  <c r="D62" i="4"/>
  <c r="B48" i="4"/>
  <c r="D45" i="4"/>
  <c r="D44" i="4"/>
  <c r="D43" i="4"/>
  <c r="D42" i="4"/>
  <c r="D41" i="4"/>
  <c r="I34" i="4"/>
  <c r="H33" i="4"/>
  <c r="I33" i="4" s="1"/>
  <c r="C58" i="4" s="1"/>
  <c r="H32" i="4"/>
  <c r="I32" i="4" s="1"/>
  <c r="C142" i="4" s="1"/>
  <c r="H31" i="4"/>
  <c r="I31" i="4" s="1"/>
  <c r="C100" i="4" s="1"/>
  <c r="AD20" i="4"/>
  <c r="AD21" i="4" s="1"/>
  <c r="AC20" i="4"/>
  <c r="AC21" i="4" s="1"/>
  <c r="AB20" i="4"/>
  <c r="AB21" i="4" s="1"/>
  <c r="AA20" i="4"/>
  <c r="AA21" i="4" s="1"/>
  <c r="Z20" i="4"/>
  <c r="Z21" i="4" s="1"/>
  <c r="S20" i="4"/>
  <c r="S21" i="4" s="1"/>
  <c r="R20" i="4"/>
  <c r="R21" i="4" s="1"/>
  <c r="Q20" i="4"/>
  <c r="Q21" i="4" s="1"/>
  <c r="B97" i="4" s="1"/>
  <c r="B90" i="4" s="1"/>
  <c r="P20" i="4"/>
  <c r="P21" i="4" s="1"/>
  <c r="O20" i="4"/>
  <c r="N20" i="4"/>
  <c r="N21" i="4" s="1"/>
  <c r="J20" i="4"/>
  <c r="AG19" i="4"/>
  <c r="Y19" i="4"/>
  <c r="V19" i="4"/>
  <c r="M19" i="4"/>
  <c r="I19" i="4"/>
  <c r="F19" i="4"/>
  <c r="H19" i="4" s="1"/>
  <c r="D19" i="4"/>
  <c r="AG18" i="4"/>
  <c r="Y18" i="4"/>
  <c r="V18" i="4"/>
  <c r="M18" i="4"/>
  <c r="I18" i="4"/>
  <c r="F18" i="4"/>
  <c r="H18" i="4" s="1"/>
  <c r="D18" i="4"/>
  <c r="AG17" i="4"/>
  <c r="Y17" i="4"/>
  <c r="V17" i="4"/>
  <c r="M17" i="4"/>
  <c r="I17" i="4"/>
  <c r="F17" i="4"/>
  <c r="H17" i="4" s="1"/>
  <c r="D17" i="4"/>
  <c r="AG16" i="4"/>
  <c r="Y16" i="4"/>
  <c r="V16" i="4"/>
  <c r="M16" i="4"/>
  <c r="I16" i="4"/>
  <c r="F16" i="4"/>
  <c r="D16" i="4"/>
  <c r="D26" i="4" s="1"/>
  <c r="AG15" i="4"/>
  <c r="Y15" i="4"/>
  <c r="V15" i="4"/>
  <c r="M15" i="4"/>
  <c r="I15" i="4"/>
  <c r="F15" i="4"/>
  <c r="D15" i="4"/>
  <c r="AG14" i="4"/>
  <c r="Y14" i="4"/>
  <c r="V14" i="4"/>
  <c r="M14" i="4"/>
  <c r="I14" i="4"/>
  <c r="F14" i="4"/>
  <c r="D14" i="4"/>
  <c r="AG13" i="4"/>
  <c r="Y13" i="4"/>
  <c r="V13" i="4"/>
  <c r="M13" i="4"/>
  <c r="I13" i="4"/>
  <c r="F13" i="4"/>
  <c r="D13" i="4"/>
  <c r="V12" i="4"/>
  <c r="M12" i="4"/>
  <c r="I12" i="4"/>
  <c r="F12" i="4"/>
  <c r="D12" i="4"/>
  <c r="AG11" i="4"/>
  <c r="Y11" i="4"/>
  <c r="V11" i="4"/>
  <c r="M11" i="4"/>
  <c r="F11" i="4"/>
  <c r="D11" i="4"/>
  <c r="AG10" i="4"/>
  <c r="Y10" i="4"/>
  <c r="V10" i="4"/>
  <c r="M10" i="4"/>
  <c r="I10" i="4"/>
  <c r="F10" i="4"/>
  <c r="D10" i="4"/>
  <c r="D193" i="5"/>
  <c r="D192" i="5"/>
  <c r="D191" i="5"/>
  <c r="E194" i="5" s="1"/>
  <c r="D190" i="5"/>
  <c r="D189" i="5"/>
  <c r="E181" i="5"/>
  <c r="E180" i="5"/>
  <c r="E179" i="5"/>
  <c r="E178" i="5"/>
  <c r="D161" i="5"/>
  <c r="D160" i="5"/>
  <c r="D159" i="5"/>
  <c r="D158" i="5"/>
  <c r="D157" i="5"/>
  <c r="D140" i="5"/>
  <c r="D139" i="5"/>
  <c r="D138" i="5"/>
  <c r="D137" i="5"/>
  <c r="D136" i="5"/>
  <c r="C133" i="5"/>
  <c r="C134" i="5" s="1"/>
  <c r="C135" i="5" s="1"/>
  <c r="B122" i="5"/>
  <c r="D119" i="5"/>
  <c r="D118" i="5"/>
  <c r="D117" i="5"/>
  <c r="D116" i="5"/>
  <c r="D115" i="5"/>
  <c r="D120" i="5" s="1"/>
  <c r="D121" i="5" s="1"/>
  <c r="D98" i="5"/>
  <c r="D97" i="5"/>
  <c r="D96" i="5"/>
  <c r="D95" i="5"/>
  <c r="D94" i="5"/>
  <c r="B80" i="5"/>
  <c r="D77" i="5"/>
  <c r="D76" i="5"/>
  <c r="D75" i="5"/>
  <c r="D74" i="5"/>
  <c r="D73" i="5"/>
  <c r="B59" i="5"/>
  <c r="D56" i="5"/>
  <c r="D55" i="5"/>
  <c r="D54" i="5"/>
  <c r="D53" i="5"/>
  <c r="D52" i="5"/>
  <c r="I45" i="5"/>
  <c r="H44" i="5"/>
  <c r="I44" i="5" s="1"/>
  <c r="C69" i="5" s="1"/>
  <c r="I43" i="5"/>
  <c r="C153" i="5" s="1"/>
  <c r="H43" i="5"/>
  <c r="H42" i="5"/>
  <c r="I42" i="5" s="1"/>
  <c r="C111" i="5" s="1"/>
  <c r="R32" i="5"/>
  <c r="AD31" i="5"/>
  <c r="AD32" i="5" s="1"/>
  <c r="AC31" i="5"/>
  <c r="AC32" i="5" s="1"/>
  <c r="AB31" i="5"/>
  <c r="AB32" i="5" s="1"/>
  <c r="AA31" i="5"/>
  <c r="AA32" i="5" s="1"/>
  <c r="Z31" i="5"/>
  <c r="Z32" i="5" s="1"/>
  <c r="S31" i="5"/>
  <c r="S32" i="5" s="1"/>
  <c r="R31" i="5"/>
  <c r="Q31" i="5"/>
  <c r="Q32" i="5" s="1"/>
  <c r="B108" i="5" s="1"/>
  <c r="B101" i="5" s="1"/>
  <c r="P31" i="5"/>
  <c r="P32" i="5" s="1"/>
  <c r="O31" i="5"/>
  <c r="N31" i="5"/>
  <c r="N32" i="5" s="1"/>
  <c r="J31" i="5"/>
  <c r="AG30" i="5"/>
  <c r="Y30" i="5"/>
  <c r="V30" i="5"/>
  <c r="M30" i="5"/>
  <c r="I30" i="5"/>
  <c r="H30" i="5"/>
  <c r="F30" i="5"/>
  <c r="D30" i="5"/>
  <c r="AG29" i="5"/>
  <c r="Y29" i="5"/>
  <c r="V29" i="5"/>
  <c r="M29" i="5"/>
  <c r="I29" i="5"/>
  <c r="F29" i="5"/>
  <c r="H29" i="5" s="1"/>
  <c r="D29" i="5"/>
  <c r="AG28" i="5"/>
  <c r="Y28" i="5"/>
  <c r="V28" i="5"/>
  <c r="M28" i="5"/>
  <c r="I28" i="5"/>
  <c r="H28" i="5"/>
  <c r="F28" i="5"/>
  <c r="D28" i="5"/>
  <c r="AG27" i="5"/>
  <c r="Y27" i="5"/>
  <c r="V27" i="5"/>
  <c r="M27" i="5"/>
  <c r="I27" i="5"/>
  <c r="F27" i="5"/>
  <c r="D27" i="5"/>
  <c r="AG26" i="5"/>
  <c r="Y26" i="5"/>
  <c r="V26" i="5"/>
  <c r="M26" i="5"/>
  <c r="I26" i="5"/>
  <c r="F26" i="5"/>
  <c r="D26" i="5"/>
  <c r="AG25" i="5"/>
  <c r="Y25" i="5"/>
  <c r="V25" i="5"/>
  <c r="M25" i="5"/>
  <c r="I25" i="5"/>
  <c r="F25" i="5"/>
  <c r="D25" i="5"/>
  <c r="AG24" i="5"/>
  <c r="Y24" i="5"/>
  <c r="V24" i="5"/>
  <c r="M24" i="5"/>
  <c r="I24" i="5"/>
  <c r="F24" i="5"/>
  <c r="D24" i="5"/>
  <c r="AG23" i="5"/>
  <c r="Y23" i="5"/>
  <c r="V23" i="5"/>
  <c r="M23" i="5"/>
  <c r="I23" i="5"/>
  <c r="F23" i="5"/>
  <c r="D23" i="5"/>
  <c r="AG22" i="5"/>
  <c r="Y22" i="5"/>
  <c r="V22" i="5"/>
  <c r="M22" i="5"/>
  <c r="I22" i="5"/>
  <c r="F22" i="5"/>
  <c r="D22" i="5"/>
  <c r="AG21" i="5"/>
  <c r="Y21" i="5"/>
  <c r="V21" i="5"/>
  <c r="M21" i="5"/>
  <c r="I21" i="5"/>
  <c r="F21" i="5"/>
  <c r="D21" i="5"/>
  <c r="AG20" i="5"/>
  <c r="Y20" i="5"/>
  <c r="V20" i="5"/>
  <c r="M20" i="5"/>
  <c r="I20" i="5"/>
  <c r="F20" i="5"/>
  <c r="D20" i="5"/>
  <c r="AG19" i="5"/>
  <c r="Y19" i="5"/>
  <c r="V19" i="5"/>
  <c r="M19" i="5"/>
  <c r="I19" i="5"/>
  <c r="F19" i="5"/>
  <c r="D19" i="5"/>
  <c r="AG18" i="5"/>
  <c r="Y18" i="5"/>
  <c r="V18" i="5"/>
  <c r="M18" i="5"/>
  <c r="I18" i="5"/>
  <c r="F18" i="5"/>
  <c r="D18" i="5"/>
  <c r="AG17" i="5"/>
  <c r="Y17" i="5"/>
  <c r="V17" i="5"/>
  <c r="M17" i="5"/>
  <c r="I17" i="5"/>
  <c r="F17" i="5"/>
  <c r="D17" i="5"/>
  <c r="AG16" i="5"/>
  <c r="Y16" i="5"/>
  <c r="V16" i="5"/>
  <c r="M16" i="5"/>
  <c r="I16" i="5"/>
  <c r="F16" i="5"/>
  <c r="D16" i="5"/>
  <c r="D37" i="5" s="1"/>
  <c r="AG15" i="5"/>
  <c r="Y15" i="5"/>
  <c r="V15" i="5"/>
  <c r="M15" i="5"/>
  <c r="I15" i="5"/>
  <c r="F15" i="5"/>
  <c r="D15" i="5"/>
  <c r="D36" i="5" s="1"/>
  <c r="AG14" i="5"/>
  <c r="Y14" i="5"/>
  <c r="V14" i="5"/>
  <c r="M14" i="5"/>
  <c r="I14" i="5"/>
  <c r="F14" i="5"/>
  <c r="D14" i="5"/>
  <c r="AG13" i="5"/>
  <c r="Y13" i="5"/>
  <c r="V13" i="5"/>
  <c r="M13" i="5"/>
  <c r="I13" i="5"/>
  <c r="F13" i="5"/>
  <c r="D13" i="5"/>
  <c r="V12" i="5"/>
  <c r="M12" i="5"/>
  <c r="I12" i="5"/>
  <c r="F12" i="5"/>
  <c r="D12" i="5"/>
  <c r="AG11" i="5"/>
  <c r="Y11" i="5"/>
  <c r="V11" i="5"/>
  <c r="M11" i="5"/>
  <c r="I11" i="5"/>
  <c r="F11" i="5"/>
  <c r="D11" i="5"/>
  <c r="AG10" i="5"/>
  <c r="Y10" i="5"/>
  <c r="V10" i="5"/>
  <c r="M10" i="5"/>
  <c r="M31" i="5" s="1"/>
  <c r="M32" i="5" s="1"/>
  <c r="B44" i="5" s="1"/>
  <c r="I10" i="5"/>
  <c r="F10" i="5"/>
  <c r="D10" i="5"/>
  <c r="M12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10" i="3"/>
  <c r="D194" i="3"/>
  <c r="D193" i="3"/>
  <c r="D192" i="3"/>
  <c r="D191" i="3"/>
  <c r="D190" i="3"/>
  <c r="E182" i="3"/>
  <c r="E181" i="3"/>
  <c r="E180" i="3"/>
  <c r="E179" i="3"/>
  <c r="D162" i="3"/>
  <c r="D161" i="3"/>
  <c r="D160" i="3"/>
  <c r="D159" i="3"/>
  <c r="D158" i="3"/>
  <c r="D141" i="3"/>
  <c r="D140" i="3"/>
  <c r="D139" i="3"/>
  <c r="D138" i="3"/>
  <c r="D137" i="3"/>
  <c r="C134" i="3"/>
  <c r="C135" i="3" s="1"/>
  <c r="C136" i="3" s="1"/>
  <c r="B123" i="3"/>
  <c r="D120" i="3"/>
  <c r="D119" i="3"/>
  <c r="D118" i="3"/>
  <c r="D117" i="3"/>
  <c r="D116" i="3"/>
  <c r="D99" i="3"/>
  <c r="D98" i="3"/>
  <c r="D97" i="3"/>
  <c r="D96" i="3"/>
  <c r="D95" i="3"/>
  <c r="B81" i="3"/>
  <c r="D78" i="3"/>
  <c r="D77" i="3"/>
  <c r="D76" i="3"/>
  <c r="D75" i="3"/>
  <c r="D74" i="3"/>
  <c r="B60" i="3"/>
  <c r="D57" i="3"/>
  <c r="D56" i="3"/>
  <c r="D55" i="3"/>
  <c r="D54" i="3"/>
  <c r="D53" i="3"/>
  <c r="I46" i="3"/>
  <c r="H45" i="3"/>
  <c r="I45" i="3" s="1"/>
  <c r="H44" i="3"/>
  <c r="I44" i="3" s="1"/>
  <c r="H43" i="3"/>
  <c r="I43" i="3" s="1"/>
  <c r="C112" i="3" s="1"/>
  <c r="AD32" i="3"/>
  <c r="AD33" i="3" s="1"/>
  <c r="AC32" i="3"/>
  <c r="AC33" i="3" s="1"/>
  <c r="AB32" i="3"/>
  <c r="AB33" i="3" s="1"/>
  <c r="AA32" i="3"/>
  <c r="AA33" i="3" s="1"/>
  <c r="Z32" i="3"/>
  <c r="Z33" i="3" s="1"/>
  <c r="S32" i="3"/>
  <c r="S33" i="3" s="1"/>
  <c r="R32" i="3"/>
  <c r="R33" i="3" s="1"/>
  <c r="Q32" i="3"/>
  <c r="Q33" i="3" s="1"/>
  <c r="B109" i="3" s="1"/>
  <c r="B102" i="3" s="1"/>
  <c r="P32" i="3"/>
  <c r="P33" i="3" s="1"/>
  <c r="O32" i="3"/>
  <c r="N32" i="3"/>
  <c r="N33" i="3" s="1"/>
  <c r="J32" i="3"/>
  <c r="AG31" i="3"/>
  <c r="Y31" i="3"/>
  <c r="V31" i="3"/>
  <c r="M31" i="3"/>
  <c r="F31" i="3"/>
  <c r="H31" i="3" s="1"/>
  <c r="D31" i="3"/>
  <c r="AG30" i="3"/>
  <c r="Y30" i="3"/>
  <c r="V30" i="3"/>
  <c r="M30" i="3"/>
  <c r="F30" i="3"/>
  <c r="H30" i="3" s="1"/>
  <c r="D30" i="3"/>
  <c r="AG29" i="3"/>
  <c r="Y29" i="3"/>
  <c r="V29" i="3"/>
  <c r="M29" i="3"/>
  <c r="F29" i="3"/>
  <c r="H29" i="3" s="1"/>
  <c r="D29" i="3"/>
  <c r="AG28" i="3"/>
  <c r="Y28" i="3"/>
  <c r="V28" i="3"/>
  <c r="M28" i="3"/>
  <c r="F28" i="3"/>
  <c r="D28" i="3"/>
  <c r="AG27" i="3"/>
  <c r="Y27" i="3"/>
  <c r="V27" i="3"/>
  <c r="M27" i="3"/>
  <c r="F27" i="3"/>
  <c r="D27" i="3"/>
  <c r="AG26" i="3"/>
  <c r="Y26" i="3"/>
  <c r="V26" i="3"/>
  <c r="M26" i="3"/>
  <c r="F26" i="3"/>
  <c r="D26" i="3"/>
  <c r="AG25" i="3"/>
  <c r="Y25" i="3"/>
  <c r="V25" i="3"/>
  <c r="M25" i="3"/>
  <c r="F25" i="3"/>
  <c r="D25" i="3"/>
  <c r="AG24" i="3"/>
  <c r="Y24" i="3"/>
  <c r="V24" i="3"/>
  <c r="M24" i="3"/>
  <c r="F24" i="3"/>
  <c r="D24" i="3"/>
  <c r="AG23" i="3"/>
  <c r="Y23" i="3"/>
  <c r="V23" i="3"/>
  <c r="M23" i="3"/>
  <c r="F23" i="3"/>
  <c r="D23" i="3"/>
  <c r="AG22" i="3"/>
  <c r="Y22" i="3"/>
  <c r="V22" i="3"/>
  <c r="M22" i="3"/>
  <c r="F22" i="3"/>
  <c r="D22" i="3"/>
  <c r="AG21" i="3"/>
  <c r="Y21" i="3"/>
  <c r="V21" i="3"/>
  <c r="M21" i="3"/>
  <c r="F21" i="3"/>
  <c r="D21" i="3"/>
  <c r="AG20" i="3"/>
  <c r="Y20" i="3"/>
  <c r="V20" i="3"/>
  <c r="M20" i="3"/>
  <c r="F20" i="3"/>
  <c r="D20" i="3"/>
  <c r="AG19" i="3"/>
  <c r="Y19" i="3"/>
  <c r="V19" i="3"/>
  <c r="M19" i="3"/>
  <c r="F19" i="3"/>
  <c r="D19" i="3"/>
  <c r="AG18" i="3"/>
  <c r="Y18" i="3"/>
  <c r="V18" i="3"/>
  <c r="M18" i="3"/>
  <c r="F18" i="3"/>
  <c r="D18" i="3"/>
  <c r="AG17" i="3"/>
  <c r="Y17" i="3"/>
  <c r="V17" i="3"/>
  <c r="M17" i="3"/>
  <c r="F17" i="3"/>
  <c r="D17" i="3"/>
  <c r="AG16" i="3"/>
  <c r="Y16" i="3"/>
  <c r="V16" i="3"/>
  <c r="M16" i="3"/>
  <c r="F16" i="3"/>
  <c r="D16" i="3"/>
  <c r="AG15" i="3"/>
  <c r="Y15" i="3"/>
  <c r="V15" i="3"/>
  <c r="M15" i="3"/>
  <c r="F15" i="3"/>
  <c r="D15" i="3"/>
  <c r="AG14" i="3"/>
  <c r="Y14" i="3"/>
  <c r="V14" i="3"/>
  <c r="M14" i="3"/>
  <c r="F14" i="3"/>
  <c r="D14" i="3"/>
  <c r="AG13" i="3"/>
  <c r="Y13" i="3"/>
  <c r="V13" i="3"/>
  <c r="M13" i="3"/>
  <c r="F13" i="3"/>
  <c r="D13" i="3"/>
  <c r="V12" i="3"/>
  <c r="F12" i="3"/>
  <c r="D12" i="3"/>
  <c r="AG11" i="3"/>
  <c r="Y11" i="3"/>
  <c r="V11" i="3"/>
  <c r="M11" i="3"/>
  <c r="F11" i="3"/>
  <c r="D11" i="3"/>
  <c r="AG10" i="3"/>
  <c r="Y10" i="3"/>
  <c r="V10" i="3"/>
  <c r="M10" i="3"/>
  <c r="F10" i="3"/>
  <c r="D10" i="3"/>
  <c r="B73" i="1"/>
  <c r="M55" i="1"/>
  <c r="D175" i="1"/>
  <c r="D174" i="1"/>
  <c r="D173" i="1"/>
  <c r="D172" i="1"/>
  <c r="D171" i="1"/>
  <c r="C168" i="1"/>
  <c r="D228" i="1"/>
  <c r="D227" i="1"/>
  <c r="D226" i="1"/>
  <c r="D225" i="1"/>
  <c r="D224" i="1"/>
  <c r="E216" i="1"/>
  <c r="E215" i="1"/>
  <c r="E214" i="1"/>
  <c r="E213" i="1"/>
  <c r="D196" i="1"/>
  <c r="D195" i="1"/>
  <c r="D194" i="1"/>
  <c r="D193" i="1"/>
  <c r="D192" i="1"/>
  <c r="B157" i="1"/>
  <c r="D154" i="1"/>
  <c r="D153" i="1"/>
  <c r="D152" i="1"/>
  <c r="D151" i="1"/>
  <c r="D150" i="1"/>
  <c r="D130" i="1"/>
  <c r="D133" i="1"/>
  <c r="D132" i="1"/>
  <c r="D131" i="1"/>
  <c r="D129" i="1"/>
  <c r="B115" i="1"/>
  <c r="D112" i="1"/>
  <c r="D111" i="1"/>
  <c r="D110" i="1"/>
  <c r="D109" i="1"/>
  <c r="D108" i="1"/>
  <c r="B94" i="1"/>
  <c r="H77" i="1"/>
  <c r="I77" i="1" s="1"/>
  <c r="C146" i="1" s="1"/>
  <c r="C147" i="1" s="1"/>
  <c r="C148" i="1" s="1"/>
  <c r="C149" i="1" s="1"/>
  <c r="I80" i="1"/>
  <c r="H78" i="1"/>
  <c r="I78" i="1" s="1"/>
  <c r="C125" i="1" s="1"/>
  <c r="H79" i="1"/>
  <c r="I79" i="1" s="1"/>
  <c r="C83" i="1" s="1"/>
  <c r="C84" i="1" s="1"/>
  <c r="C85" i="1" s="1"/>
  <c r="C86" i="1" s="1"/>
  <c r="D91" i="1"/>
  <c r="D90" i="1"/>
  <c r="D89" i="1"/>
  <c r="D88" i="1"/>
  <c r="D87" i="1"/>
  <c r="O66" i="1"/>
  <c r="F234" i="5" l="1"/>
  <c r="V234" i="5"/>
  <c r="V235" i="5" s="1"/>
  <c r="I234" i="5"/>
  <c r="B242" i="5" s="1"/>
  <c r="D242" i="5" s="1"/>
  <c r="D234" i="5"/>
  <c r="D235" i="5" s="1"/>
  <c r="B237" i="5" s="1"/>
  <c r="D240" i="5"/>
  <c r="B243" i="5"/>
  <c r="B244" i="5"/>
  <c r="F235" i="5"/>
  <c r="N235" i="5"/>
  <c r="Y32" i="3"/>
  <c r="Y33" i="3" s="1"/>
  <c r="D163" i="3"/>
  <c r="D164" i="3" s="1"/>
  <c r="S235" i="3"/>
  <c r="S236" i="3" s="1"/>
  <c r="V235" i="3"/>
  <c r="V236" i="3" s="1"/>
  <c r="F235" i="3"/>
  <c r="B245" i="3" s="1"/>
  <c r="B246" i="3" s="1"/>
  <c r="B247" i="3" s="1"/>
  <c r="I235" i="3"/>
  <c r="B243" i="3" s="1"/>
  <c r="D243" i="3" s="1"/>
  <c r="D235" i="3"/>
  <c r="D236" i="3" s="1"/>
  <c r="B238" i="3" s="1"/>
  <c r="D238" i="3" s="1"/>
  <c r="K236" i="3"/>
  <c r="D239" i="4"/>
  <c r="D240" i="4" s="1"/>
  <c r="C231" i="4"/>
  <c r="C232" i="4" s="1"/>
  <c r="C233" i="4" s="1"/>
  <c r="B242" i="4" s="1"/>
  <c r="B243" i="4" s="1"/>
  <c r="E183" i="4"/>
  <c r="B227" i="4"/>
  <c r="S215" i="4"/>
  <c r="I214" i="4"/>
  <c r="B222" i="4" s="1"/>
  <c r="D222" i="4" s="1"/>
  <c r="D109" i="4"/>
  <c r="D110" i="4" s="1"/>
  <c r="V214" i="4"/>
  <c r="V215" i="4" s="1"/>
  <c r="D214" i="4"/>
  <c r="D215" i="4" s="1"/>
  <c r="B217" i="4" s="1"/>
  <c r="D217" i="4" s="1"/>
  <c r="F214" i="4"/>
  <c r="B224" i="4" s="1"/>
  <c r="B225" i="4" s="1"/>
  <c r="B226" i="4" s="1"/>
  <c r="C91" i="3"/>
  <c r="C92" i="3" s="1"/>
  <c r="C154" i="3"/>
  <c r="C155" i="3" s="1"/>
  <c r="D58" i="3"/>
  <c r="D59" i="3" s="1"/>
  <c r="D79" i="3"/>
  <c r="D80" i="3" s="1"/>
  <c r="D100" i="3"/>
  <c r="D142" i="3"/>
  <c r="D143" i="3" s="1"/>
  <c r="B145" i="3" s="1"/>
  <c r="B146" i="3" s="1"/>
  <c r="E183" i="3"/>
  <c r="E184" i="3" s="1"/>
  <c r="E186" i="3" s="1"/>
  <c r="E187" i="3" s="1"/>
  <c r="E188" i="3" s="1"/>
  <c r="E189" i="3" s="1"/>
  <c r="E195" i="3"/>
  <c r="D121" i="3"/>
  <c r="D122" i="3" s="1"/>
  <c r="Y31" i="5"/>
  <c r="Y32" i="5" s="1"/>
  <c r="E182" i="5"/>
  <c r="E183" i="5" s="1"/>
  <c r="E185" i="5" s="1"/>
  <c r="E186" i="5" s="1"/>
  <c r="E187" i="5" s="1"/>
  <c r="E188" i="5" s="1"/>
  <c r="E196" i="5" s="1"/>
  <c r="D57" i="5"/>
  <c r="D58" i="5" s="1"/>
  <c r="D78" i="5"/>
  <c r="D79" i="5" s="1"/>
  <c r="D99" i="5"/>
  <c r="D100" i="5" s="1"/>
  <c r="D162" i="5"/>
  <c r="D163" i="5" s="1"/>
  <c r="AG31" i="5"/>
  <c r="B150" i="5" s="1"/>
  <c r="D141" i="5"/>
  <c r="D142" i="5" s="1"/>
  <c r="B144" i="5" s="1"/>
  <c r="B145" i="5" s="1"/>
  <c r="AG20" i="4"/>
  <c r="B139" i="4" s="1"/>
  <c r="Y20" i="4"/>
  <c r="Y21" i="4" s="1"/>
  <c r="D151" i="4"/>
  <c r="D152" i="4" s="1"/>
  <c r="M20" i="4"/>
  <c r="M21" i="4" s="1"/>
  <c r="B33" i="4" s="1"/>
  <c r="D46" i="4"/>
  <c r="D47" i="4" s="1"/>
  <c r="D67" i="4"/>
  <c r="D68" i="4" s="1"/>
  <c r="D88" i="4"/>
  <c r="D89" i="4" s="1"/>
  <c r="D130" i="4"/>
  <c r="D131" i="4" s="1"/>
  <c r="B133" i="4" s="1"/>
  <c r="B134" i="4" s="1"/>
  <c r="E171" i="4"/>
  <c r="E172" i="4" s="1"/>
  <c r="E174" i="4" s="1"/>
  <c r="E175" i="4" s="1"/>
  <c r="V20" i="4"/>
  <c r="V21" i="4" s="1"/>
  <c r="B29" i="4"/>
  <c r="F20" i="4"/>
  <c r="F21" i="4" s="1"/>
  <c r="I20" i="4"/>
  <c r="B28" i="4" s="1"/>
  <c r="D28" i="4" s="1"/>
  <c r="D25" i="4"/>
  <c r="D20" i="4"/>
  <c r="D21" i="4" s="1"/>
  <c r="C59" i="4"/>
  <c r="C60" i="4" s="1"/>
  <c r="C61" i="4" s="1"/>
  <c r="D24" i="4"/>
  <c r="C101" i="4"/>
  <c r="C102" i="4" s="1"/>
  <c r="C103" i="4" s="1"/>
  <c r="C143" i="4"/>
  <c r="C144" i="4" s="1"/>
  <c r="C145" i="4" s="1"/>
  <c r="C37" i="4"/>
  <c r="C79" i="4"/>
  <c r="V31" i="5"/>
  <c r="V32" i="5" s="1"/>
  <c r="F31" i="5"/>
  <c r="F32" i="5" s="1"/>
  <c r="I31" i="5"/>
  <c r="B39" i="5" s="1"/>
  <c r="D39" i="5" s="1"/>
  <c r="B40" i="5"/>
  <c r="C70" i="5"/>
  <c r="C71" i="5" s="1"/>
  <c r="C72" i="5" s="1"/>
  <c r="B81" i="5" s="1"/>
  <c r="B82" i="5" s="1"/>
  <c r="C112" i="5"/>
  <c r="C113" i="5" s="1"/>
  <c r="C114" i="5" s="1"/>
  <c r="B123" i="5" s="1"/>
  <c r="B124" i="5" s="1"/>
  <c r="C154" i="5"/>
  <c r="C155" i="5"/>
  <c r="C156" i="5" s="1"/>
  <c r="B165" i="5" s="1"/>
  <c r="B166" i="5" s="1"/>
  <c r="D31" i="5"/>
  <c r="D32" i="5" s="1"/>
  <c r="C48" i="5"/>
  <c r="C90" i="5"/>
  <c r="D37" i="3"/>
  <c r="I32" i="3"/>
  <c r="B40" i="3" s="1"/>
  <c r="D40" i="3" s="1"/>
  <c r="AG32" i="3"/>
  <c r="B151" i="3" s="1"/>
  <c r="V32" i="3"/>
  <c r="V33" i="3" s="1"/>
  <c r="M32" i="3"/>
  <c r="M33" i="3" s="1"/>
  <c r="B45" i="3" s="1"/>
  <c r="D36" i="3"/>
  <c r="D38" i="3"/>
  <c r="F32" i="3"/>
  <c r="F33" i="3" s="1"/>
  <c r="C70" i="3"/>
  <c r="C49" i="3"/>
  <c r="D101" i="3"/>
  <c r="C113" i="3"/>
  <c r="C114" i="3" s="1"/>
  <c r="C115" i="3" s="1"/>
  <c r="D32" i="3"/>
  <c r="D33" i="3" s="1"/>
  <c r="D176" i="1"/>
  <c r="D177" i="1" s="1"/>
  <c r="C169" i="1"/>
  <c r="C170" i="1" s="1"/>
  <c r="D113" i="1"/>
  <c r="D114" i="1" s="1"/>
  <c r="C104" i="1"/>
  <c r="C105" i="1" s="1"/>
  <c r="C106" i="1" s="1"/>
  <c r="C107" i="1" s="1"/>
  <c r="C188" i="1"/>
  <c r="C189" i="1" s="1"/>
  <c r="C190" i="1" s="1"/>
  <c r="C191" i="1" s="1"/>
  <c r="E229" i="1"/>
  <c r="E217" i="1"/>
  <c r="E218" i="1" s="1"/>
  <c r="E220" i="1" s="1"/>
  <c r="E221" i="1" s="1"/>
  <c r="E222" i="1" s="1"/>
  <c r="E223" i="1" s="1"/>
  <c r="D197" i="1"/>
  <c r="D198" i="1" s="1"/>
  <c r="D155" i="1"/>
  <c r="D156" i="1" s="1"/>
  <c r="B158" i="1" s="1"/>
  <c r="B159" i="1" s="1"/>
  <c r="D134" i="1"/>
  <c r="C126" i="1"/>
  <c r="C127" i="1" s="1"/>
  <c r="C128" i="1" s="1"/>
  <c r="D92" i="1"/>
  <c r="D93" i="1" s="1"/>
  <c r="B95" i="1" s="1"/>
  <c r="B96" i="1" s="1"/>
  <c r="B98" i="1" s="1"/>
  <c r="B241" i="5" l="1"/>
  <c r="D241" i="5" s="1"/>
  <c r="D237" i="5"/>
  <c r="D243" i="5" s="1"/>
  <c r="D244" i="5" s="1"/>
  <c r="B235" i="5"/>
  <c r="B236" i="5" s="1"/>
  <c r="B245" i="5"/>
  <c r="B246" i="5" s="1"/>
  <c r="F236" i="3"/>
  <c r="C156" i="3"/>
  <c r="C157" i="3" s="1"/>
  <c r="B166" i="3" s="1"/>
  <c r="B167" i="3" s="1"/>
  <c r="B169" i="3" s="1"/>
  <c r="B171" i="3" s="1"/>
  <c r="C93" i="3"/>
  <c r="C94" i="3" s="1"/>
  <c r="B103" i="3" s="1"/>
  <c r="B104" i="3" s="1"/>
  <c r="B106" i="3" s="1"/>
  <c r="B108" i="3" s="1"/>
  <c r="B242" i="3"/>
  <c r="D242" i="3" s="1"/>
  <c r="D244" i="3" s="1"/>
  <c r="D245" i="3" s="1"/>
  <c r="B236" i="3"/>
  <c r="B237" i="3" s="1"/>
  <c r="B245" i="4"/>
  <c r="B247" i="4" s="1"/>
  <c r="B154" i="4"/>
  <c r="B155" i="4" s="1"/>
  <c r="B221" i="4"/>
  <c r="D221" i="4" s="1"/>
  <c r="D223" i="4" s="1"/>
  <c r="D224" i="4" s="1"/>
  <c r="B112" i="4"/>
  <c r="B113" i="4" s="1"/>
  <c r="F215" i="4"/>
  <c r="B70" i="4"/>
  <c r="B71" i="4" s="1"/>
  <c r="B73" i="4" s="1"/>
  <c r="B75" i="4" s="1"/>
  <c r="B215" i="4"/>
  <c r="B216" i="4" s="1"/>
  <c r="E176" i="4"/>
  <c r="E177" i="4" s="1"/>
  <c r="E185" i="4" s="1"/>
  <c r="E186" i="4" s="1"/>
  <c r="E187" i="4" s="1"/>
  <c r="E221" i="4"/>
  <c r="B124" i="3"/>
  <c r="B125" i="3" s="1"/>
  <c r="B127" i="3" s="1"/>
  <c r="E197" i="3"/>
  <c r="E198" i="3" s="1"/>
  <c r="E199" i="3" s="1"/>
  <c r="B147" i="5"/>
  <c r="B149" i="5" s="1"/>
  <c r="B136" i="4"/>
  <c r="B138" i="4" s="1"/>
  <c r="B27" i="4"/>
  <c r="B30" i="4"/>
  <c r="B31" i="4" s="1"/>
  <c r="B32" i="4" s="1"/>
  <c r="B23" i="4"/>
  <c r="B115" i="4"/>
  <c r="B117" i="4" s="1"/>
  <c r="B157" i="4"/>
  <c r="C80" i="4"/>
  <c r="C81" i="4" s="1"/>
  <c r="C82" i="4" s="1"/>
  <c r="B91" i="4" s="1"/>
  <c r="B92" i="4" s="1"/>
  <c r="C38" i="4"/>
  <c r="C39" i="4" s="1"/>
  <c r="C40" i="4" s="1"/>
  <c r="B49" i="4" s="1"/>
  <c r="B50" i="4" s="1"/>
  <c r="B38" i="5"/>
  <c r="D38" i="5" s="1"/>
  <c r="D35" i="5"/>
  <c r="B34" i="5"/>
  <c r="D34" i="5" s="1"/>
  <c r="B41" i="5"/>
  <c r="B42" i="5" s="1"/>
  <c r="B43" i="5" s="1"/>
  <c r="B84" i="5"/>
  <c r="B86" i="5" s="1"/>
  <c r="B126" i="5"/>
  <c r="B128" i="5" s="1"/>
  <c r="C49" i="5"/>
  <c r="C50" i="5" s="1"/>
  <c r="C51" i="5" s="1"/>
  <c r="B60" i="5" s="1"/>
  <c r="B61" i="5" s="1"/>
  <c r="E197" i="5"/>
  <c r="E198" i="5" s="1"/>
  <c r="B168" i="5"/>
  <c r="B170" i="5"/>
  <c r="C91" i="5"/>
  <c r="C92" i="5"/>
  <c r="C93" i="5" s="1"/>
  <c r="B102" i="5" s="1"/>
  <c r="B103" i="5" s="1"/>
  <c r="B39" i="3"/>
  <c r="D39" i="3" s="1"/>
  <c r="B41" i="3"/>
  <c r="B35" i="3"/>
  <c r="D35" i="3" s="1"/>
  <c r="B42" i="3"/>
  <c r="C71" i="3"/>
  <c r="C72" i="3" s="1"/>
  <c r="C73" i="3" s="1"/>
  <c r="B82" i="3" s="1"/>
  <c r="B83" i="3" s="1"/>
  <c r="C50" i="3"/>
  <c r="C51" i="3" s="1"/>
  <c r="C52" i="3" s="1"/>
  <c r="B61" i="3" s="1"/>
  <c r="B62" i="3" s="1"/>
  <c r="B148" i="3"/>
  <c r="B150" i="3" s="1"/>
  <c r="B116" i="1"/>
  <c r="B117" i="1" s="1"/>
  <c r="B119" i="1" s="1"/>
  <c r="B121" i="1" s="1"/>
  <c r="B179" i="1"/>
  <c r="B180" i="1" s="1"/>
  <c r="B182" i="1" s="1"/>
  <c r="B184" i="1" s="1"/>
  <c r="E231" i="1"/>
  <c r="E232" i="1" s="1"/>
  <c r="E233" i="1" s="1"/>
  <c r="B200" i="1"/>
  <c r="B201" i="1" s="1"/>
  <c r="B203" i="1" s="1"/>
  <c r="B205" i="1" s="1"/>
  <c r="B161" i="1"/>
  <c r="B163" i="1" s="1"/>
  <c r="D122" i="1"/>
  <c r="D121" i="1"/>
  <c r="B100" i="1"/>
  <c r="D100" i="1" s="1"/>
  <c r="B129" i="3" l="1"/>
  <c r="D248" i="4"/>
  <c r="D247" i="4"/>
  <c r="B159" i="4"/>
  <c r="D160" i="4" s="1"/>
  <c r="D27" i="4"/>
  <c r="E27" i="4"/>
  <c r="D149" i="5"/>
  <c r="F150" i="5" s="1"/>
  <c r="D150" i="5"/>
  <c r="D139" i="4"/>
  <c r="D138" i="4"/>
  <c r="F139" i="4" s="1"/>
  <c r="B21" i="4"/>
  <c r="B22" i="4" s="1"/>
  <c r="D23" i="4"/>
  <c r="B52" i="4"/>
  <c r="B54" i="4" s="1"/>
  <c r="B94" i="4"/>
  <c r="B96" i="4" s="1"/>
  <c r="D76" i="4"/>
  <c r="D75" i="4"/>
  <c r="E188" i="4"/>
  <c r="E189" i="4" s="1"/>
  <c r="D118" i="4"/>
  <c r="D117" i="4"/>
  <c r="D40" i="5"/>
  <c r="D41" i="5" s="1"/>
  <c r="B32" i="5"/>
  <c r="B33" i="5" s="1"/>
  <c r="E199" i="5"/>
  <c r="E200" i="5" s="1"/>
  <c r="D87" i="5"/>
  <c r="D86" i="5"/>
  <c r="B105" i="5"/>
  <c r="B107" i="5" s="1"/>
  <c r="D129" i="5"/>
  <c r="D128" i="5"/>
  <c r="B63" i="5"/>
  <c r="B65" i="5" s="1"/>
  <c r="D171" i="5"/>
  <c r="D170" i="5"/>
  <c r="D41" i="3"/>
  <c r="D42" i="3" s="1"/>
  <c r="B43" i="3"/>
  <c r="B44" i="3" s="1"/>
  <c r="B33" i="3"/>
  <c r="B34" i="3" s="1"/>
  <c r="D109" i="3"/>
  <c r="D108" i="3"/>
  <c r="E200" i="3"/>
  <c r="E201" i="3" s="1"/>
  <c r="D150" i="3"/>
  <c r="D151" i="3"/>
  <c r="B64" i="3"/>
  <c r="B66" i="3" s="1"/>
  <c r="D172" i="3"/>
  <c r="D171" i="3"/>
  <c r="B85" i="3"/>
  <c r="B87" i="3" s="1"/>
  <c r="D130" i="3"/>
  <c r="D129" i="3"/>
  <c r="D184" i="1"/>
  <c r="E234" i="1"/>
  <c r="E235" i="1" s="1"/>
  <c r="D206" i="1"/>
  <c r="D205" i="1"/>
  <c r="D164" i="1"/>
  <c r="D163" i="1"/>
  <c r="D101" i="1"/>
  <c r="D159" i="4" l="1"/>
  <c r="D29" i="4"/>
  <c r="D30" i="4" s="1"/>
  <c r="F149" i="5"/>
  <c r="F138" i="4"/>
  <c r="D97" i="4"/>
  <c r="D96" i="4"/>
  <c r="D55" i="4"/>
  <c r="D54" i="4"/>
  <c r="D66" i="5"/>
  <c r="D65" i="5"/>
  <c r="D108" i="5"/>
  <c r="D107" i="5"/>
  <c r="D67" i="3"/>
  <c r="D66" i="3"/>
  <c r="D88" i="3"/>
  <c r="D87" i="3"/>
  <c r="F151" i="3"/>
  <c r="F150" i="3"/>
  <c r="F185" i="1"/>
  <c r="F184" i="1"/>
  <c r="D11" i="1" l="1"/>
  <c r="D13" i="1"/>
  <c r="D24" i="1"/>
  <c r="D35" i="1"/>
  <c r="D36" i="1"/>
  <c r="D43" i="1"/>
  <c r="D58" i="1"/>
  <c r="D60" i="1"/>
  <c r="D90" i="2"/>
  <c r="D89" i="2"/>
  <c r="D88" i="2"/>
  <c r="D87" i="2"/>
  <c r="D86" i="2"/>
  <c r="D76" i="2"/>
  <c r="D75" i="2"/>
  <c r="D74" i="2"/>
  <c r="D73" i="2"/>
  <c r="D72" i="2"/>
  <c r="E64" i="2"/>
  <c r="E63" i="2"/>
  <c r="E62" i="2"/>
  <c r="E61" i="2"/>
  <c r="E60" i="2"/>
  <c r="E59" i="2"/>
  <c r="E58" i="2"/>
  <c r="J40" i="2"/>
  <c r="J39" i="2"/>
  <c r="J38" i="2"/>
  <c r="I17" i="2" s="1"/>
  <c r="J17" i="2" s="1"/>
  <c r="J37" i="2"/>
  <c r="I16" i="2" s="1"/>
  <c r="J16" i="2" s="1"/>
  <c r="J24" i="2"/>
  <c r="J22" i="2"/>
  <c r="H20" i="2"/>
  <c r="H23" i="2" s="1"/>
  <c r="J19" i="2"/>
  <c r="I19" i="2"/>
  <c r="I18" i="2"/>
  <c r="J18" i="2" s="1"/>
  <c r="J15" i="2"/>
  <c r="J14" i="2"/>
  <c r="J13" i="2"/>
  <c r="J12" i="2"/>
  <c r="J11" i="2"/>
  <c r="J10" i="2"/>
  <c r="D91" i="2" l="1"/>
  <c r="E77" i="2"/>
  <c r="E65" i="2"/>
  <c r="E66" i="2" s="1"/>
  <c r="E68" i="2" s="1"/>
  <c r="E69" i="2" s="1"/>
  <c r="E70" i="2" s="1"/>
  <c r="E71" i="2" s="1"/>
  <c r="E79" i="2" s="1"/>
  <c r="H33" i="2"/>
  <c r="J20" i="2"/>
  <c r="H34" i="2"/>
  <c r="J23" i="2"/>
  <c r="J25" i="2" s="1"/>
  <c r="J26" i="2" s="1"/>
  <c r="J27" i="2" s="1"/>
  <c r="E80" i="2" l="1"/>
  <c r="E81" i="2" s="1"/>
  <c r="J28" i="2"/>
  <c r="J29" i="2" s="1"/>
  <c r="J30" i="2" s="1"/>
  <c r="J31" i="2" s="1"/>
  <c r="E82" i="2" l="1"/>
  <c r="E83" i="2" s="1"/>
  <c r="B84" i="2" s="1"/>
  <c r="E11" i="2" l="1"/>
  <c r="F60" i="1"/>
  <c r="M60" i="1"/>
  <c r="V60" i="1"/>
  <c r="Y60" i="1"/>
  <c r="AG60" i="1"/>
  <c r="D61" i="1"/>
  <c r="F61" i="1"/>
  <c r="H61" i="1" s="1"/>
  <c r="M61" i="1"/>
  <c r="V61" i="1"/>
  <c r="Y61" i="1"/>
  <c r="AG61" i="1"/>
  <c r="D62" i="1"/>
  <c r="F62" i="1"/>
  <c r="H62" i="1" s="1"/>
  <c r="M62" i="1"/>
  <c r="V62" i="1"/>
  <c r="Y62" i="1"/>
  <c r="AG62" i="1"/>
  <c r="D63" i="1"/>
  <c r="F63" i="1"/>
  <c r="H63" i="1" s="1"/>
  <c r="M63" i="1"/>
  <c r="V63" i="1"/>
  <c r="Y63" i="1"/>
  <c r="AG63" i="1"/>
  <c r="D64" i="1"/>
  <c r="F64" i="1"/>
  <c r="H64" i="1" s="1"/>
  <c r="M64" i="1"/>
  <c r="V64" i="1"/>
  <c r="Y64" i="1"/>
  <c r="AG64" i="1"/>
  <c r="F55" i="1"/>
  <c r="D55" i="1"/>
  <c r="F57" i="1"/>
  <c r="D57" i="1"/>
  <c r="F56" i="1"/>
  <c r="D56" i="1"/>
  <c r="M54" i="1"/>
  <c r="F54" i="1"/>
  <c r="D54" i="1"/>
  <c r="M53" i="1"/>
  <c r="F53" i="1"/>
  <c r="D53" i="1"/>
  <c r="D28" i="1"/>
  <c r="F28" i="1"/>
  <c r="M28" i="1"/>
  <c r="V28" i="1"/>
  <c r="AG18" i="1"/>
  <c r="Y18" i="1"/>
  <c r="V18" i="1"/>
  <c r="M18" i="1"/>
  <c r="F18" i="1"/>
  <c r="D18" i="1"/>
  <c r="AG17" i="1"/>
  <c r="Y17" i="1"/>
  <c r="V17" i="1"/>
  <c r="M17" i="1"/>
  <c r="F17" i="1"/>
  <c r="D17" i="1"/>
  <c r="V12" i="1"/>
  <c r="V13" i="1"/>
  <c r="F12" i="1"/>
  <c r="D12" i="1"/>
  <c r="I66" i="1"/>
  <c r="AD66" i="1"/>
  <c r="AD67" i="1" s="1"/>
  <c r="AC66" i="1"/>
  <c r="AC67" i="1" s="1"/>
  <c r="AB66" i="1"/>
  <c r="AB67" i="1" s="1"/>
  <c r="AA66" i="1"/>
  <c r="AA67" i="1" s="1"/>
  <c r="Z66" i="1"/>
  <c r="Z67" i="1" s="1"/>
  <c r="S66" i="1"/>
  <c r="S67" i="1" s="1"/>
  <c r="R66" i="1"/>
  <c r="R67" i="1" s="1"/>
  <c r="Q66" i="1"/>
  <c r="Q67" i="1" s="1"/>
  <c r="B143" i="1" s="1"/>
  <c r="B136" i="1" s="1"/>
  <c r="D135" i="1" s="1"/>
  <c r="B137" i="1" s="1"/>
  <c r="B138" i="1" s="1"/>
  <c r="B140" i="1" s="1"/>
  <c r="B142" i="1" s="1"/>
  <c r="P66" i="1"/>
  <c r="P67" i="1" s="1"/>
  <c r="N66" i="1"/>
  <c r="N67" i="1" s="1"/>
  <c r="J66" i="1"/>
  <c r="AG65" i="1"/>
  <c r="Y65" i="1"/>
  <c r="V65" i="1"/>
  <c r="M65" i="1"/>
  <c r="F65" i="1"/>
  <c r="H65" i="1" s="1"/>
  <c r="D65" i="1"/>
  <c r="AG59" i="1"/>
  <c r="Y59" i="1"/>
  <c r="V59" i="1"/>
  <c r="M59" i="1"/>
  <c r="F59" i="1"/>
  <c r="D59" i="1"/>
  <c r="AG58" i="1"/>
  <c r="Y58" i="1"/>
  <c r="V58" i="1"/>
  <c r="M58" i="1"/>
  <c r="F58" i="1"/>
  <c r="AG57" i="1"/>
  <c r="Y57" i="1"/>
  <c r="V57" i="1"/>
  <c r="M57" i="1"/>
  <c r="AG56" i="1"/>
  <c r="Y56" i="1"/>
  <c r="V56" i="1"/>
  <c r="M56" i="1"/>
  <c r="AG54" i="1"/>
  <c r="Y54" i="1"/>
  <c r="V54" i="1"/>
  <c r="AG53" i="1"/>
  <c r="Y53" i="1"/>
  <c r="V53" i="1"/>
  <c r="AG52" i="1"/>
  <c r="Y52" i="1"/>
  <c r="V52" i="1"/>
  <c r="M52" i="1"/>
  <c r="F52" i="1"/>
  <c r="AG51" i="1"/>
  <c r="Y51" i="1"/>
  <c r="V51" i="1"/>
  <c r="M51" i="1"/>
  <c r="F51" i="1"/>
  <c r="AG50" i="1"/>
  <c r="Y50" i="1"/>
  <c r="V50" i="1"/>
  <c r="M50" i="1"/>
  <c r="F50" i="1"/>
  <c r="D50" i="1"/>
  <c r="AG49" i="1"/>
  <c r="Y49" i="1"/>
  <c r="V49" i="1"/>
  <c r="M49" i="1"/>
  <c r="F49" i="1"/>
  <c r="D49" i="1"/>
  <c r="AG48" i="1"/>
  <c r="Y48" i="1"/>
  <c r="V48" i="1"/>
  <c r="M48" i="1"/>
  <c r="F48" i="1"/>
  <c r="D48" i="1"/>
  <c r="AG47" i="1"/>
  <c r="Y47" i="1"/>
  <c r="V47" i="1"/>
  <c r="M47" i="1"/>
  <c r="F47" i="1"/>
  <c r="D47" i="1"/>
  <c r="AG46" i="1"/>
  <c r="Y46" i="1"/>
  <c r="V46" i="1"/>
  <c r="M46" i="1"/>
  <c r="F46" i="1"/>
  <c r="D46" i="1"/>
  <c r="AG45" i="1"/>
  <c r="Y45" i="1"/>
  <c r="V45" i="1"/>
  <c r="M45" i="1"/>
  <c r="F45" i="1"/>
  <c r="D45" i="1"/>
  <c r="AG44" i="1"/>
  <c r="Y44" i="1"/>
  <c r="V44" i="1"/>
  <c r="M44" i="1"/>
  <c r="F44" i="1"/>
  <c r="D44" i="1"/>
  <c r="AG43" i="1"/>
  <c r="Y43" i="1"/>
  <c r="V43" i="1"/>
  <c r="M43" i="1"/>
  <c r="F43" i="1"/>
  <c r="AG42" i="1"/>
  <c r="Y42" i="1"/>
  <c r="V42" i="1"/>
  <c r="M42" i="1"/>
  <c r="F42" i="1"/>
  <c r="D42" i="1"/>
  <c r="AG41" i="1"/>
  <c r="Y41" i="1"/>
  <c r="V41" i="1"/>
  <c r="M41" i="1"/>
  <c r="F41" i="1"/>
  <c r="D41" i="1"/>
  <c r="AG40" i="1"/>
  <c r="Y40" i="1"/>
  <c r="V40" i="1"/>
  <c r="M40" i="1"/>
  <c r="F40" i="1"/>
  <c r="D40" i="1"/>
  <c r="AG39" i="1"/>
  <c r="Y39" i="1"/>
  <c r="V39" i="1"/>
  <c r="M39" i="1"/>
  <c r="F39" i="1"/>
  <c r="D39" i="1"/>
  <c r="AG38" i="1"/>
  <c r="Y38" i="1"/>
  <c r="V38" i="1"/>
  <c r="M38" i="1"/>
  <c r="F38" i="1"/>
  <c r="D38" i="1"/>
  <c r="AG37" i="1"/>
  <c r="Y37" i="1"/>
  <c r="V37" i="1"/>
  <c r="M37" i="1"/>
  <c r="F37" i="1"/>
  <c r="D37" i="1"/>
  <c r="AG36" i="1"/>
  <c r="Y36" i="1"/>
  <c r="V36" i="1"/>
  <c r="M36" i="1"/>
  <c r="F36" i="1"/>
  <c r="AG35" i="1"/>
  <c r="Y35" i="1"/>
  <c r="V35" i="1"/>
  <c r="M35" i="1"/>
  <c r="F35" i="1"/>
  <c r="AG34" i="1"/>
  <c r="Y34" i="1"/>
  <c r="V34" i="1"/>
  <c r="M34" i="1"/>
  <c r="F34" i="1"/>
  <c r="D34" i="1"/>
  <c r="AG33" i="1"/>
  <c r="Y33" i="1"/>
  <c r="V33" i="1"/>
  <c r="M33" i="1"/>
  <c r="F33" i="1"/>
  <c r="D33" i="1"/>
  <c r="AG32" i="1"/>
  <c r="Y32" i="1"/>
  <c r="V32" i="1"/>
  <c r="M32" i="1"/>
  <c r="F32" i="1"/>
  <c r="D32" i="1"/>
  <c r="AG31" i="1"/>
  <c r="Y31" i="1"/>
  <c r="V31" i="1"/>
  <c r="M31" i="1"/>
  <c r="F31" i="1"/>
  <c r="D31" i="1"/>
  <c r="AG30" i="1"/>
  <c r="Y30" i="1"/>
  <c r="V30" i="1"/>
  <c r="M30" i="1"/>
  <c r="F30" i="1"/>
  <c r="D30" i="1"/>
  <c r="AG29" i="1"/>
  <c r="Y29" i="1"/>
  <c r="V29" i="1"/>
  <c r="M29" i="1"/>
  <c r="F29" i="1"/>
  <c r="D29" i="1"/>
  <c r="AG28" i="1"/>
  <c r="Y28" i="1"/>
  <c r="AG27" i="1"/>
  <c r="Y27" i="1"/>
  <c r="V27" i="1"/>
  <c r="M27" i="1"/>
  <c r="F27" i="1"/>
  <c r="D27" i="1"/>
  <c r="AG26" i="1"/>
  <c r="Y26" i="1"/>
  <c r="V26" i="1"/>
  <c r="M26" i="1"/>
  <c r="F26" i="1"/>
  <c r="D26" i="1"/>
  <c r="AG25" i="1"/>
  <c r="Y25" i="1"/>
  <c r="V25" i="1"/>
  <c r="M25" i="1"/>
  <c r="F25" i="1"/>
  <c r="D25" i="1"/>
  <c r="AG24" i="1"/>
  <c r="Y24" i="1"/>
  <c r="V24" i="1"/>
  <c r="M24" i="1"/>
  <c r="F24" i="1"/>
  <c r="AG23" i="1"/>
  <c r="Y23" i="1"/>
  <c r="V23" i="1"/>
  <c r="M23" i="1"/>
  <c r="F23" i="1"/>
  <c r="D23" i="1"/>
  <c r="AG22" i="1"/>
  <c r="Y22" i="1"/>
  <c r="V22" i="1"/>
  <c r="M22" i="1"/>
  <c r="F22" i="1"/>
  <c r="D22" i="1"/>
  <c r="AG21" i="1"/>
  <c r="Y21" i="1"/>
  <c r="V21" i="1"/>
  <c r="M21" i="1"/>
  <c r="F21" i="1"/>
  <c r="D21" i="1"/>
  <c r="AG20" i="1"/>
  <c r="Y20" i="1"/>
  <c r="V20" i="1"/>
  <c r="M20" i="1"/>
  <c r="F20" i="1"/>
  <c r="D20" i="1"/>
  <c r="AG19" i="1"/>
  <c r="Y19" i="1"/>
  <c r="V19" i="1"/>
  <c r="M19" i="1"/>
  <c r="F19" i="1"/>
  <c r="D19" i="1"/>
  <c r="AG16" i="1"/>
  <c r="Y16" i="1"/>
  <c r="V16" i="1"/>
  <c r="M16" i="1"/>
  <c r="F16" i="1"/>
  <c r="D16" i="1"/>
  <c r="AG15" i="1"/>
  <c r="Y15" i="1"/>
  <c r="V15" i="1"/>
  <c r="M15" i="1"/>
  <c r="F15" i="1"/>
  <c r="D15" i="1"/>
  <c r="AG14" i="1"/>
  <c r="Y14" i="1"/>
  <c r="V14" i="1"/>
  <c r="M14" i="1"/>
  <c r="F14" i="1"/>
  <c r="D14" i="1"/>
  <c r="AG13" i="1"/>
  <c r="Y13" i="1"/>
  <c r="M13" i="1"/>
  <c r="F13" i="1"/>
  <c r="AG11" i="1"/>
  <c r="Y11" i="1"/>
  <c r="V11" i="1"/>
  <c r="M11" i="1"/>
  <c r="F11" i="1"/>
  <c r="AG10" i="1"/>
  <c r="Y10" i="1"/>
  <c r="V10" i="1"/>
  <c r="M10" i="1"/>
  <c r="F10" i="1"/>
  <c r="D10" i="1"/>
  <c r="D47" i="2"/>
  <c r="D46" i="2"/>
  <c r="D45" i="2"/>
  <c r="D44" i="2"/>
  <c r="D43" i="2"/>
  <c r="D33" i="2"/>
  <c r="D32" i="2"/>
  <c r="D31" i="2"/>
  <c r="D30" i="2"/>
  <c r="D29" i="2"/>
  <c r="E21" i="2"/>
  <c r="E20" i="2"/>
  <c r="E19" i="2"/>
  <c r="E18" i="2"/>
  <c r="E17" i="2"/>
  <c r="E16" i="2"/>
  <c r="E15" i="2"/>
  <c r="E14" i="2"/>
  <c r="E13" i="2"/>
  <c r="E12" i="2"/>
  <c r="E10" i="2"/>
  <c r="E9" i="2"/>
  <c r="B71" i="1" l="1"/>
  <c r="D142" i="1"/>
  <c r="D143" i="1"/>
  <c r="B70" i="1"/>
  <c r="B72" i="1"/>
  <c r="D72" i="1" s="1"/>
  <c r="D48" i="2"/>
  <c r="E34" i="2"/>
  <c r="E22" i="2"/>
  <c r="E23" i="2" s="1"/>
  <c r="E25" i="2" s="1"/>
  <c r="E26" i="2" s="1"/>
  <c r="E27" i="2" s="1"/>
  <c r="E28" i="2" s="1"/>
  <c r="D71" i="1"/>
  <c r="V66" i="1"/>
  <c r="V67" i="1" s="1"/>
  <c r="Y66" i="1"/>
  <c r="Y67" i="1" s="1"/>
  <c r="AG66" i="1"/>
  <c r="B185" i="1" s="1"/>
  <c r="D185" i="1" s="1"/>
  <c r="M66" i="1"/>
  <c r="M67" i="1" s="1"/>
  <c r="B79" i="1" s="1"/>
  <c r="F66" i="1"/>
  <c r="F67" i="1" s="1"/>
  <c r="D66" i="1"/>
  <c r="B74" i="1"/>
  <c r="D74" i="1" s="1"/>
  <c r="D70" i="1" l="1"/>
  <c r="B75" i="1"/>
  <c r="E36" i="2"/>
  <c r="E37" i="2" s="1"/>
  <c r="E38" i="2" s="1"/>
  <c r="D67" i="1"/>
  <c r="D73" i="1"/>
  <c r="B76" i="1"/>
  <c r="B69" i="1" l="1"/>
  <c r="B77" i="1"/>
  <c r="B78" i="1" s="1"/>
  <c r="E39" i="2"/>
  <c r="E40" i="2" s="1"/>
  <c r="B41" i="2" s="1"/>
  <c r="B67" i="1" l="1"/>
  <c r="B68" i="1" s="1"/>
  <c r="D69" i="1"/>
  <c r="D75" i="1" s="1"/>
  <c r="D76" i="1" s="1"/>
</calcChain>
</file>

<file path=xl/sharedStrings.xml><?xml version="1.0" encoding="utf-8"?>
<sst xmlns="http://schemas.openxmlformats.org/spreadsheetml/2006/main" count="1673" uniqueCount="279">
  <si>
    <t>Job Name &amp; Number:</t>
  </si>
  <si>
    <t>Job Address:</t>
  </si>
  <si>
    <t>Dated Plan Set:</t>
  </si>
  <si>
    <t xml:space="preserve">Scope of Work: </t>
  </si>
  <si>
    <t xml:space="preserve">Stone selection: </t>
  </si>
  <si>
    <t>Indiana Limestone</t>
  </si>
  <si>
    <t xml:space="preserve">Stone finish: </t>
  </si>
  <si>
    <t>sandblasted</t>
  </si>
  <si>
    <t>Quickbooks Estimate #</t>
  </si>
  <si>
    <t>Fireplace Componants</t>
  </si>
  <si>
    <t>Width</t>
  </si>
  <si>
    <t>Depth</t>
  </si>
  <si>
    <t>Length</t>
  </si>
  <si>
    <t>Cu Inches</t>
  </si>
  <si>
    <r>
      <t xml:space="preserve">Total Cubic </t>
    </r>
    <r>
      <rPr>
        <b/>
        <sz val="9"/>
        <rFont val="Arial"/>
        <family val="2"/>
      </rPr>
      <t>INCHES</t>
    </r>
    <r>
      <rPr>
        <sz val="9"/>
        <rFont val="Arial"/>
        <family val="2"/>
      </rPr>
      <t>:</t>
    </r>
  </si>
  <si>
    <t>Total Cubic Feet of stone:</t>
  </si>
  <si>
    <t>Cubic Foot of stone price</t>
  </si>
  <si>
    <t>Total price of stone</t>
  </si>
  <si>
    <t>Waste factor</t>
  </si>
  <si>
    <t>Cost of stone</t>
  </si>
  <si>
    <t>Cost of stone with sales tax</t>
  </si>
  <si>
    <t>Litox Day Time</t>
  </si>
  <si>
    <t>Litox Night Time</t>
  </si>
  <si>
    <t>Shop time</t>
  </si>
  <si>
    <t>Jeff Carving</t>
  </si>
  <si>
    <t>MJ/MGMT; shop drawings</t>
  </si>
  <si>
    <t>Fabrication Costs:</t>
  </si>
  <si>
    <t>Packaging/Crating costs</t>
  </si>
  <si>
    <t>COGS</t>
  </si>
  <si>
    <t>Overhead M/UP</t>
  </si>
  <si>
    <t>Cost:</t>
  </si>
  <si>
    <t>Profit:</t>
  </si>
  <si>
    <t>Sales Price:</t>
  </si>
  <si>
    <t>Price per cubic foot:</t>
  </si>
  <si>
    <t>Installation</t>
  </si>
  <si>
    <t>Qty</t>
  </si>
  <si>
    <t>Rate</t>
  </si>
  <si>
    <t>Subtotal:</t>
  </si>
  <si>
    <t>Super</t>
  </si>
  <si>
    <t>Est. mason hearth install</t>
  </si>
  <si>
    <t>Estimated mason hours</t>
  </si>
  <si>
    <t>Mason seal/clean up</t>
  </si>
  <si>
    <t>Materials</t>
  </si>
  <si>
    <t xml:space="preserve">Installation total: </t>
  </si>
  <si>
    <t>Exclusions or special notes:</t>
  </si>
  <si>
    <t>Lot Name &amp; Number:</t>
  </si>
  <si>
    <t>Scope of Work:</t>
  </si>
  <si>
    <t>Stone Selections:</t>
  </si>
  <si>
    <t xml:space="preserve">Area of Veneer: </t>
  </si>
  <si>
    <t>Stone or Brick Veneer</t>
  </si>
  <si>
    <t>Irons</t>
  </si>
  <si>
    <t xml:space="preserve">CMU  </t>
  </si>
  <si>
    <t>Accents</t>
  </si>
  <si>
    <t>Accents Radius Caps</t>
  </si>
  <si>
    <t>Specialty Pieces</t>
  </si>
  <si>
    <t>Chimney Caps</t>
  </si>
  <si>
    <t>Section/Room</t>
  </si>
  <si>
    <t>L</t>
  </si>
  <si>
    <t>H</t>
  </si>
  <si>
    <t>SF</t>
  </si>
  <si>
    <t># of corners</t>
  </si>
  <si>
    <t>LF Corners</t>
  </si>
  <si>
    <t>Outs</t>
  </si>
  <si>
    <t>Base Ledge</t>
  </si>
  <si>
    <t>Lintels</t>
  </si>
  <si>
    <t>CMU L</t>
  </si>
  <si>
    <t>CMU H</t>
  </si>
  <si>
    <t>CMU SF</t>
  </si>
  <si>
    <t>Thresholds</t>
  </si>
  <si>
    <t>cap L</t>
  </si>
  <si>
    <t>cap W</t>
  </si>
  <si>
    <t>Flat Caps SF</t>
  </si>
  <si>
    <t>Cap L</t>
  </si>
  <si>
    <t>Cap W</t>
  </si>
  <si>
    <t>Radius Caps SF</t>
  </si>
  <si>
    <t>Hearth L</t>
  </si>
  <si>
    <t>Mantel L</t>
  </si>
  <si>
    <t>Chimney Pots</t>
  </si>
  <si>
    <t xml:space="preserve">Totals: </t>
  </si>
  <si>
    <t>SF of CMU</t>
  </si>
  <si>
    <t>SF of Chimney Caps</t>
  </si>
  <si>
    <t>Tons of stone purchase (40 sf/tn)</t>
  </si>
  <si>
    <t xml:space="preserve">TTL SF: </t>
  </si>
  <si>
    <t>Ttl # of CMU</t>
  </si>
  <si>
    <t>Qty of chimney caps</t>
  </si>
  <si>
    <t>Deliveries of stone (per 15 tons)</t>
  </si>
  <si>
    <t>Lump Sum Labor Pricing:</t>
  </si>
  <si>
    <t># of grout pumps</t>
  </si>
  <si>
    <t>Qty of Purchase of Accents with 10% waste</t>
  </si>
  <si>
    <t>Qty of each specialty piece</t>
  </si>
  <si>
    <t>Crane Rentals</t>
  </si>
  <si>
    <t>Total accent installation</t>
  </si>
  <si>
    <t>Total irons</t>
  </si>
  <si>
    <t>Purchasing of Thin Stone</t>
  </si>
  <si>
    <t>Total $</t>
  </si>
  <si>
    <t>corner deduct</t>
  </si>
  <si>
    <t>Mark up $</t>
  </si>
  <si>
    <t>SF needed</t>
  </si>
  <si>
    <t>Total qty of CMU</t>
  </si>
  <si>
    <t>Mecham</t>
  </si>
  <si>
    <t>10037 N Lakeshore Dr, Cedar Hills</t>
  </si>
  <si>
    <t xml:space="preserve">Antique Desert </t>
  </si>
  <si>
    <t>four car garage</t>
  </si>
  <si>
    <t>Eave blocks</t>
  </si>
  <si>
    <t>3" sills</t>
  </si>
  <si>
    <t>7" Transition sills</t>
  </si>
  <si>
    <t>7" sill corners</t>
  </si>
  <si>
    <t>Thin or Full</t>
  </si>
  <si>
    <t>full</t>
  </si>
  <si>
    <t>four car garage, above</t>
  </si>
  <si>
    <t>four car garage, west gable</t>
  </si>
  <si>
    <t xml:space="preserve">thin  </t>
  </si>
  <si>
    <t>thin</t>
  </si>
  <si>
    <t>four car garage, east gable</t>
  </si>
  <si>
    <t>homework/wic</t>
  </si>
  <si>
    <t>ROOF chimney</t>
  </si>
  <si>
    <t>Dining</t>
  </si>
  <si>
    <t>Dining alcove</t>
  </si>
  <si>
    <t>WIC/entry</t>
  </si>
  <si>
    <t>Entry</t>
  </si>
  <si>
    <t>Entry return</t>
  </si>
  <si>
    <t>Large Surround</t>
  </si>
  <si>
    <t>Entry wing walls</t>
  </si>
  <si>
    <t>Front courtyard wall (outer &amp; inn(</t>
  </si>
  <si>
    <t>Accents: 3" Flat Caps</t>
  </si>
  <si>
    <t>hallway</t>
  </si>
  <si>
    <t>storage</t>
  </si>
  <si>
    <t xml:space="preserve">WIC </t>
  </si>
  <si>
    <t>WIC south</t>
  </si>
  <si>
    <t>Primary bath</t>
  </si>
  <si>
    <t>Primary suite</t>
  </si>
  <si>
    <t>Primary suite bay</t>
  </si>
  <si>
    <t>Primary suite wainscot</t>
  </si>
  <si>
    <t>Chimney</t>
  </si>
  <si>
    <t>LL light well/planter</t>
  </si>
  <si>
    <t xml:space="preserve">Living ROOm </t>
  </si>
  <si>
    <t>Piers</t>
  </si>
  <si>
    <t>Lintel (out and in)</t>
  </si>
  <si>
    <t>Gable outer</t>
  </si>
  <si>
    <t>Gable inner</t>
  </si>
  <si>
    <t>Living room door entry</t>
  </si>
  <si>
    <t>Butler Pantry</t>
  </si>
  <si>
    <t>Garage entry</t>
  </si>
  <si>
    <t>INT: Living Room FP</t>
  </si>
  <si>
    <t xml:space="preserve">INT: LL Family </t>
  </si>
  <si>
    <t>Living Room</t>
  </si>
  <si>
    <t>profiled hearth</t>
  </si>
  <si>
    <t>profiled hearth, returns</t>
  </si>
  <si>
    <t>surround</t>
  </si>
  <si>
    <t xml:space="preserve">Change Order or Quote Worksheet for SF Small Jobs or Lump Sums: </t>
  </si>
  <si>
    <t>Labor Pay out compensation plus SF bonus</t>
  </si>
  <si>
    <t xml:space="preserve">Contractor: </t>
  </si>
  <si>
    <t>Quickbooks estimate/co#:</t>
  </si>
  <si>
    <t>CO#:</t>
  </si>
  <si>
    <t>Scope of work and/or reason for CO:</t>
  </si>
  <si>
    <t xml:space="preserve">Anticipated Labor &amp; Materials quantities: </t>
  </si>
  <si>
    <t>Qty.</t>
  </si>
  <si>
    <t>Supervisor/MGMT hours</t>
  </si>
  <si>
    <t>Labor and setting materials for EXTERIOR masonry, SF</t>
  </si>
  <si>
    <t>Labor and setting materials for ROOF masonry, SF</t>
  </si>
  <si>
    <t>Labor and setting materials for INTERIOR masonry, SF</t>
  </si>
  <si>
    <t>Labor and setting materials for stone accents per SF/LF or EA</t>
  </si>
  <si>
    <t>Angle Irons per LF</t>
  </si>
  <si>
    <r>
      <t xml:space="preserve">Stone costs per ton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total $ amount</t>
    </r>
  </si>
  <si>
    <r>
      <t xml:space="preserve">Stone accents costs per SF/LF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lump sum total</t>
    </r>
  </si>
  <si>
    <r>
      <t>Miscellaneous materials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incidentals estimated $ amount</t>
    </r>
  </si>
  <si>
    <t xml:space="preserve">Total General Mason &amp; Supervisor Labor &amp; Materials Budget: </t>
  </si>
  <si>
    <t xml:space="preserve">Overhead and Bonus pay structure: </t>
  </si>
  <si>
    <t>Fork lift/scaffold daily/speciality equipment or tools</t>
  </si>
  <si>
    <t>Total SF/LF of project: (bonus paid to masons + labor burden)</t>
  </si>
  <si>
    <t>Truck OH</t>
  </si>
  <si>
    <t>Total add'l OH:</t>
  </si>
  <si>
    <t>Miscellaneous tools:</t>
  </si>
  <si>
    <t xml:space="preserve">Bonus and OH: </t>
  </si>
  <si>
    <t>Total Labor and Materials:</t>
  </si>
  <si>
    <t>Profit mark up: (varies for contractor/homeowner/PITA)</t>
  </si>
  <si>
    <t>Total Sales Price of Small Job or Change Order:</t>
  </si>
  <si>
    <t>Average Total price per SF:</t>
  </si>
  <si>
    <t xml:space="preserve">Potential Bonus structure paid to masons: </t>
  </si>
  <si>
    <t>Total labor quantities of project estimated</t>
  </si>
  <si>
    <r>
      <t xml:space="preserve">Total $ bonus to masons </t>
    </r>
    <r>
      <rPr>
        <b/>
        <sz val="11"/>
        <color theme="1"/>
        <rFont val="Calibri"/>
        <family val="2"/>
        <scheme val="minor"/>
      </rPr>
      <t>"IF"</t>
    </r>
    <r>
      <rPr>
        <sz val="11"/>
        <color theme="1"/>
        <rFont val="Calibri"/>
        <family val="2"/>
        <scheme val="minor"/>
      </rPr>
      <t xml:space="preserve"> qty of hours are under budget</t>
    </r>
  </si>
  <si>
    <t xml:space="preserve">Worksheet to figure out stone costs, as needed: </t>
  </si>
  <si>
    <t xml:space="preserve">Stone &amp; Stone Accent Costs: </t>
  </si>
  <si>
    <t>Stone $ w/ tax</t>
  </si>
  <si>
    <t xml:space="preserve">Stone Costs </t>
  </si>
  <si>
    <t>Stone accents</t>
  </si>
  <si>
    <t>Miscellaneous materials OR incidentals estimated $ amount</t>
  </si>
  <si>
    <t>Living room stone veneer</t>
  </si>
  <si>
    <t>Stone corners</t>
  </si>
  <si>
    <t xml:space="preserve"> </t>
  </si>
  <si>
    <t>Total Roof SF, full bed</t>
  </si>
  <si>
    <t>Total Roof SF, thin</t>
  </si>
  <si>
    <t>Total Exterior SF, Thin</t>
  </si>
  <si>
    <t>Total Exterior SF full bed</t>
  </si>
  <si>
    <t>10% waste</t>
  </si>
  <si>
    <t>Saw time, day time</t>
  </si>
  <si>
    <t>Saw time, night time</t>
  </si>
  <si>
    <t>Add'l shop materials, if any</t>
  </si>
  <si>
    <t>Add'l shop drawing/mgmt</t>
  </si>
  <si>
    <t>Fabrication expense</t>
  </si>
  <si>
    <t>Mark up %</t>
  </si>
  <si>
    <t>Material packaging costs</t>
  </si>
  <si>
    <t>Final Sales Price:</t>
  </si>
  <si>
    <t># of units</t>
  </si>
  <si>
    <t>per unit $</t>
  </si>
  <si>
    <t>10" full headers</t>
  </si>
  <si>
    <t>Full bed Headers</t>
  </si>
  <si>
    <t>Thin headers</t>
  </si>
  <si>
    <t>10" thin headers</t>
  </si>
  <si>
    <t>Stone price per SF</t>
  </si>
  <si>
    <t>waste</t>
  </si>
  <si>
    <t>Landed</t>
  </si>
  <si>
    <t>$ per SF with sales tax</t>
  </si>
  <si>
    <t>Fabrication expense per SF</t>
  </si>
  <si>
    <t>SF of accent</t>
  </si>
  <si>
    <t>Costs price per SF</t>
  </si>
  <si>
    <t>per SF $</t>
  </si>
  <si>
    <t>10"</t>
  </si>
  <si>
    <t>7" (8" slab)</t>
  </si>
  <si>
    <t>12"</t>
  </si>
  <si>
    <t>3"</t>
  </si>
  <si>
    <t>Slab thick</t>
  </si>
  <si>
    <t>Slab $</t>
  </si>
  <si>
    <t>Freight/SF</t>
  </si>
  <si>
    <t>Landed/SF</t>
  </si>
  <si>
    <t>7" sloped sills</t>
  </si>
  <si>
    <t>Entry surround</t>
  </si>
  <si>
    <t>Shadow Grey</t>
  </si>
  <si>
    <t>Surround</t>
  </si>
  <si>
    <t>Crown</t>
  </si>
  <si>
    <t>4" caps chimney</t>
  </si>
  <si>
    <t>Upstairs loft</t>
  </si>
  <si>
    <t>legs</t>
  </si>
  <si>
    <t>tudor freize</t>
  </si>
  <si>
    <t>crown</t>
  </si>
  <si>
    <t>Mecham Gym</t>
  </si>
  <si>
    <t>East elev</t>
  </si>
  <si>
    <t>parapet wall north</t>
  </si>
  <si>
    <t>parapet wall south &amp; piers corners</t>
  </si>
  <si>
    <t>WIC</t>
  </si>
  <si>
    <t>WIC &amp; entry</t>
  </si>
  <si>
    <t>Gym front</t>
  </si>
  <si>
    <t>planters</t>
  </si>
  <si>
    <t>entry parapet walls</t>
  </si>
  <si>
    <t xml:space="preserve">entry parapet walls, </t>
  </si>
  <si>
    <t>north</t>
  </si>
  <si>
    <t>West</t>
  </si>
  <si>
    <t>Connectin wall gym to shop, south</t>
  </si>
  <si>
    <t>Connectin wall gym to shop, north</t>
  </si>
  <si>
    <t>Mecham shop</t>
  </si>
  <si>
    <t>West; mech</t>
  </si>
  <si>
    <t>West; garage door</t>
  </si>
  <si>
    <t>east ?</t>
  </si>
  <si>
    <t xml:space="preserve">south entry </t>
  </si>
  <si>
    <t xml:space="preserve">Roof chimney </t>
  </si>
  <si>
    <t>Roof chimney, thin</t>
  </si>
  <si>
    <t>Entry parapet wall</t>
  </si>
  <si>
    <t>Pillar</t>
  </si>
  <si>
    <t xml:space="preserve">Pool house south </t>
  </si>
  <si>
    <t>pool house south, thin</t>
  </si>
  <si>
    <t>Mecham pool house</t>
  </si>
  <si>
    <t>shop to pool house connecting wall</t>
  </si>
  <si>
    <t>Pool terrace ret wall</t>
  </si>
  <si>
    <t xml:space="preserve">**site walls not included, house only </t>
  </si>
  <si>
    <t>sh</t>
  </si>
  <si>
    <t>**NNOT thin but full bed, lower portion 8"</t>
  </si>
  <si>
    <t>V2</t>
  </si>
  <si>
    <t>west thin</t>
  </si>
  <si>
    <t>east house</t>
  </si>
  <si>
    <t>west house</t>
  </si>
  <si>
    <t>east thin</t>
  </si>
  <si>
    <t>return walls</t>
  </si>
  <si>
    <t>return walls, thin</t>
  </si>
  <si>
    <t>connecting wall w/ arches</t>
  </si>
  <si>
    <t>Arches</t>
  </si>
  <si>
    <t>peaked brick cap</t>
  </si>
  <si>
    <t>rear back thin</t>
  </si>
  <si>
    <t>3 recessed arches</t>
  </si>
  <si>
    <t>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</si>
</sst>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color indexed="58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0DBF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6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7" fillId="5" borderId="10" xfId="0" applyFont="1" applyFill="1" applyBorder="1"/>
    <xf numFmtId="0" fontId="7" fillId="6" borderId="10" xfId="0" applyFont="1" applyFill="1" applyBorder="1"/>
    <xf numFmtId="0" fontId="7" fillId="0" borderId="11" xfId="0" applyFont="1" applyBorder="1"/>
    <xf numFmtId="0" fontId="7" fillId="5" borderId="12" xfId="0" applyFont="1" applyFill="1" applyBorder="1"/>
    <xf numFmtId="0" fontId="7" fillId="6" borderId="12" xfId="0" applyFont="1" applyFill="1" applyBorder="1"/>
    <xf numFmtId="0" fontId="7" fillId="0" borderId="13" xfId="0" applyFont="1" applyBorder="1"/>
    <xf numFmtId="0" fontId="7" fillId="0" borderId="10" xfId="0" applyFont="1" applyBorder="1"/>
    <xf numFmtId="0" fontId="7" fillId="7" borderId="10" xfId="0" applyFont="1" applyFill="1" applyBorder="1"/>
    <xf numFmtId="0" fontId="7" fillId="0" borderId="14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1" xfId="0" applyFont="1" applyBorder="1"/>
    <xf numFmtId="44" fontId="9" fillId="8" borderId="5" xfId="1" applyFont="1" applyFill="1" applyBorder="1"/>
    <xf numFmtId="0" fontId="7" fillId="0" borderId="4" xfId="0" applyFont="1" applyBorder="1"/>
    <xf numFmtId="44" fontId="7" fillId="0" borderId="11" xfId="0" applyNumberFormat="1" applyFont="1" applyBorder="1"/>
    <xf numFmtId="9" fontId="10" fillId="8" borderId="15" xfId="0" applyNumberFormat="1" applyFont="1" applyFill="1" applyBorder="1"/>
    <xf numFmtId="0" fontId="7" fillId="0" borderId="16" xfId="0" applyFont="1" applyBorder="1"/>
    <xf numFmtId="44" fontId="7" fillId="0" borderId="1" xfId="0" applyNumberFormat="1" applyFont="1" applyBorder="1"/>
    <xf numFmtId="0" fontId="7" fillId="0" borderId="12" xfId="0" applyFont="1" applyBorder="1"/>
    <xf numFmtId="44" fontId="8" fillId="0" borderId="13" xfId="0" applyNumberFormat="1" applyFont="1" applyBorder="1"/>
    <xf numFmtId="0" fontId="10" fillId="8" borderId="2" xfId="0" applyFont="1" applyFill="1" applyBorder="1"/>
    <xf numFmtId="44" fontId="7" fillId="0" borderId="2" xfId="1" applyFont="1" applyBorder="1"/>
    <xf numFmtId="44" fontId="7" fillId="0" borderId="2" xfId="0" applyNumberFormat="1" applyFont="1" applyBorder="1"/>
    <xf numFmtId="0" fontId="10" fillId="8" borderId="12" xfId="0" applyFont="1" applyFill="1" applyBorder="1"/>
    <xf numFmtId="44" fontId="7" fillId="0" borderId="12" xfId="1" applyFont="1" applyBorder="1"/>
    <xf numFmtId="44" fontId="7" fillId="0" borderId="12" xfId="0" applyNumberFormat="1" applyFont="1" applyBorder="1"/>
    <xf numFmtId="0" fontId="7" fillId="0" borderId="17" xfId="0" applyFont="1" applyBorder="1"/>
    <xf numFmtId="0" fontId="7" fillId="0" borderId="18" xfId="0" applyFont="1" applyBorder="1"/>
    <xf numFmtId="0" fontId="0" fillId="0" borderId="17" xfId="0" applyBorder="1"/>
    <xf numFmtId="44" fontId="8" fillId="0" borderId="19" xfId="0" applyNumberFormat="1" applyFont="1" applyBorder="1"/>
    <xf numFmtId="0" fontId="0" fillId="0" borderId="10" xfId="0" applyBorder="1"/>
    <xf numFmtId="44" fontId="10" fillId="9" borderId="11" xfId="0" applyNumberFormat="1" applyFont="1" applyFill="1" applyBorder="1"/>
    <xf numFmtId="44" fontId="8" fillId="0" borderId="1" xfId="0" applyNumberFormat="1" applyFont="1" applyBorder="1"/>
    <xf numFmtId="9" fontId="9" fillId="8" borderId="20" xfId="0" applyNumberFormat="1" applyFont="1" applyFill="1" applyBorder="1"/>
    <xf numFmtId="0" fontId="7" fillId="0" borderId="21" xfId="0" applyFont="1" applyBorder="1"/>
    <xf numFmtId="44" fontId="7" fillId="0" borderId="10" xfId="0" applyNumberFormat="1" applyFont="1" applyBorder="1"/>
    <xf numFmtId="9" fontId="7" fillId="0" borderId="10" xfId="0" applyNumberFormat="1" applyFont="1" applyBorder="1"/>
    <xf numFmtId="9" fontId="7" fillId="10" borderId="2" xfId="0" applyNumberFormat="1" applyFont="1" applyFill="1" applyBorder="1"/>
    <xf numFmtId="0" fontId="8" fillId="11" borderId="2" xfId="0" applyFont="1" applyFill="1" applyBorder="1"/>
    <xf numFmtId="44" fontId="8" fillId="11" borderId="1" xfId="0" applyNumberFormat="1" applyFont="1" applyFill="1" applyBorder="1"/>
    <xf numFmtId="44" fontId="0" fillId="0" borderId="4" xfId="0" applyNumberFormat="1" applyBorder="1"/>
    <xf numFmtId="0" fontId="7" fillId="12" borderId="22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2" borderId="7" xfId="0" applyFont="1" applyFill="1" applyBorder="1" applyAlignment="1">
      <alignment horizontal="center"/>
    </xf>
    <xf numFmtId="0" fontId="7" fillId="12" borderId="23" xfId="0" applyFont="1" applyFill="1" applyBorder="1"/>
    <xf numFmtId="0" fontId="0" fillId="12" borderId="23" xfId="0" applyFill="1" applyBorder="1"/>
    <xf numFmtId="44" fontId="11" fillId="12" borderId="23" xfId="1" applyFont="1" applyFill="1" applyBorder="1"/>
    <xf numFmtId="44" fontId="0" fillId="12" borderId="23" xfId="0" applyNumberFormat="1" applyFill="1" applyBorder="1"/>
    <xf numFmtId="0" fontId="7" fillId="12" borderId="10" xfId="0" applyFont="1" applyFill="1" applyBorder="1"/>
    <xf numFmtId="0" fontId="0" fillId="12" borderId="10" xfId="0" applyFill="1" applyBorder="1"/>
    <xf numFmtId="44" fontId="11" fillId="12" borderId="10" xfId="1" applyFont="1" applyFill="1" applyBorder="1"/>
    <xf numFmtId="44" fontId="0" fillId="12" borderId="10" xfId="0" applyNumberFormat="1" applyFill="1" applyBorder="1"/>
    <xf numFmtId="0" fontId="7" fillId="12" borderId="2" xfId="0" applyFont="1" applyFill="1" applyBorder="1"/>
    <xf numFmtId="0" fontId="0" fillId="12" borderId="2" xfId="0" applyFill="1" applyBorder="1"/>
    <xf numFmtId="44" fontId="11" fillId="12" borderId="2" xfId="1" applyFont="1" applyFill="1" applyBorder="1"/>
    <xf numFmtId="44" fontId="0" fillId="12" borderId="2" xfId="0" applyNumberFormat="1" applyFill="1" applyBorder="1"/>
    <xf numFmtId="0" fontId="7" fillId="12" borderId="12" xfId="0" applyFont="1" applyFill="1" applyBorder="1"/>
    <xf numFmtId="0" fontId="0" fillId="12" borderId="12" xfId="0" applyFill="1" applyBorder="1"/>
    <xf numFmtId="44" fontId="12" fillId="12" borderId="12" xfId="1" applyFont="1" applyFill="1" applyBorder="1"/>
    <xf numFmtId="44" fontId="0" fillId="12" borderId="12" xfId="0" applyNumberFormat="1" applyFill="1" applyBorder="1"/>
    <xf numFmtId="0" fontId="8" fillId="12" borderId="10" xfId="0" applyFont="1" applyFill="1" applyBorder="1"/>
    <xf numFmtId="0" fontId="13" fillId="12" borderId="10" xfId="0" applyFont="1" applyFill="1" applyBorder="1"/>
    <xf numFmtId="44" fontId="13" fillId="12" borderId="10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6" borderId="38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41" xfId="0" applyFill="1" applyBorder="1" applyAlignment="1">
      <alignment horizontal="center"/>
    </xf>
    <xf numFmtId="0" fontId="15" fillId="11" borderId="41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0" fillId="14" borderId="42" xfId="0" applyFill="1" applyBorder="1" applyAlignment="1">
      <alignment horizontal="center"/>
    </xf>
    <xf numFmtId="0" fontId="0" fillId="14" borderId="41" xfId="0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16" fillId="16" borderId="15" xfId="0" applyFont="1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7" borderId="42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4" borderId="1" xfId="0" applyFill="1" applyBorder="1"/>
    <xf numFmtId="0" fontId="0" fillId="11" borderId="27" xfId="0" applyFill="1" applyBorder="1"/>
    <xf numFmtId="0" fontId="0" fillId="11" borderId="2" xfId="0" applyFill="1" applyBorder="1"/>
    <xf numFmtId="0" fontId="0" fillId="11" borderId="1" xfId="0" applyFill="1" applyBorder="1"/>
    <xf numFmtId="0" fontId="15" fillId="11" borderId="1" xfId="0" applyFont="1" applyFill="1" applyBorder="1"/>
    <xf numFmtId="0" fontId="2" fillId="11" borderId="43" xfId="0" applyFont="1" applyFill="1" applyBorder="1"/>
    <xf numFmtId="0" fontId="0" fillId="14" borderId="21" xfId="0" applyFill="1" applyBorder="1"/>
    <xf numFmtId="0" fontId="0" fillId="14" borderId="11" xfId="0" applyFill="1" applyBorder="1"/>
    <xf numFmtId="0" fontId="0" fillId="15" borderId="44" xfId="0" applyFill="1" applyBorder="1"/>
    <xf numFmtId="0" fontId="0" fillId="15" borderId="45" xfId="0" applyFill="1" applyBorder="1"/>
    <xf numFmtId="0" fontId="0" fillId="15" borderId="46" xfId="0" applyFill="1" applyBorder="1"/>
    <xf numFmtId="0" fontId="0" fillId="16" borderId="16" xfId="0" applyFill="1" applyBorder="1"/>
    <xf numFmtId="0" fontId="0" fillId="16" borderId="1" xfId="0" applyFill="1" applyBorder="1"/>
    <xf numFmtId="0" fontId="0" fillId="16" borderId="11" xfId="0" applyFill="1" applyBorder="1"/>
    <xf numFmtId="0" fontId="0" fillId="16" borderId="44" xfId="0" applyFill="1" applyBorder="1"/>
    <xf numFmtId="0" fontId="0" fillId="16" borderId="45" xfId="0" applyFill="1" applyBorder="1"/>
    <xf numFmtId="0" fontId="0" fillId="16" borderId="47" xfId="0" applyFill="1" applyBorder="1"/>
    <xf numFmtId="0" fontId="0" fillId="16" borderId="10" xfId="0" applyFill="1" applyBorder="1"/>
    <xf numFmtId="0" fontId="0" fillId="16" borderId="46" xfId="0" applyFill="1" applyBorder="1"/>
    <xf numFmtId="0" fontId="0" fillId="9" borderId="21" xfId="0" applyFill="1" applyBorder="1"/>
    <xf numFmtId="0" fontId="0" fillId="9" borderId="10" xfId="0" applyFill="1" applyBorder="1"/>
    <xf numFmtId="0" fontId="0" fillId="9" borderId="11" xfId="0" applyFill="1" applyBorder="1"/>
    <xf numFmtId="0" fontId="0" fillId="17" borderId="16" xfId="0" applyFill="1" applyBorder="1"/>
    <xf numFmtId="0" fontId="0" fillId="17" borderId="2" xfId="0" applyFill="1" applyBorder="1"/>
    <xf numFmtId="0" fontId="0" fillId="17" borderId="28" xfId="0" applyFill="1" applyBorder="1"/>
    <xf numFmtId="0" fontId="2" fillId="11" borderId="48" xfId="0" applyFont="1" applyFill="1" applyBorder="1"/>
    <xf numFmtId="0" fontId="0" fillId="15" borderId="27" xfId="0" applyFill="1" applyBorder="1"/>
    <xf numFmtId="0" fontId="0" fillId="15" borderId="2" xfId="0" applyFill="1" applyBorder="1"/>
    <xf numFmtId="0" fontId="0" fillId="15" borderId="28" xfId="0" applyFill="1" applyBorder="1"/>
    <xf numFmtId="0" fontId="0" fillId="16" borderId="27" xfId="0" applyFill="1" applyBorder="1"/>
    <xf numFmtId="0" fontId="0" fillId="16" borderId="2" xfId="0" applyFill="1" applyBorder="1"/>
    <xf numFmtId="0" fontId="0" fillId="16" borderId="28" xfId="0" applyFill="1" applyBorder="1"/>
    <xf numFmtId="0" fontId="2" fillId="11" borderId="49" xfId="0" applyFont="1" applyFill="1" applyBorder="1"/>
    <xf numFmtId="0" fontId="0" fillId="14" borderId="50" xfId="0" applyFill="1" applyBorder="1"/>
    <xf numFmtId="0" fontId="0" fillId="14" borderId="51" xfId="0" applyFill="1" applyBorder="1"/>
    <xf numFmtId="0" fontId="0" fillId="15" borderId="30" xfId="0" applyFill="1" applyBorder="1"/>
    <xf numFmtId="0" fontId="0" fillId="15" borderId="31" xfId="0" applyFill="1" applyBorder="1"/>
    <xf numFmtId="0" fontId="0" fillId="15" borderId="32" xfId="0" applyFill="1" applyBorder="1"/>
    <xf numFmtId="0" fontId="0" fillId="16" borderId="30" xfId="0" applyFill="1" applyBorder="1"/>
    <xf numFmtId="0" fontId="0" fillId="16" borderId="31" xfId="0" applyFill="1" applyBorder="1"/>
    <xf numFmtId="0" fontId="0" fillId="16" borderId="51" xfId="0" applyFill="1" applyBorder="1"/>
    <xf numFmtId="0" fontId="0" fillId="16" borderId="4" xfId="0" applyFill="1" applyBorder="1"/>
    <xf numFmtId="0" fontId="0" fillId="16" borderId="52" xfId="0" applyFill="1" applyBorder="1"/>
    <xf numFmtId="0" fontId="0" fillId="9" borderId="50" xfId="0" applyFill="1" applyBorder="1"/>
    <xf numFmtId="0" fontId="0" fillId="9" borderId="31" xfId="0" applyFill="1" applyBorder="1"/>
    <xf numFmtId="0" fontId="0" fillId="9" borderId="51" xfId="0" applyFill="1" applyBorder="1"/>
    <xf numFmtId="0" fontId="3" fillId="14" borderId="5" xfId="0" applyFont="1" applyFill="1" applyBorder="1"/>
    <xf numFmtId="0" fontId="3" fillId="11" borderId="22" xfId="0" applyFont="1" applyFill="1" applyBorder="1"/>
    <xf numFmtId="0" fontId="3" fillId="11" borderId="6" xfId="0" applyFont="1" applyFill="1" applyBorder="1"/>
    <xf numFmtId="0" fontId="3" fillId="11" borderId="41" xfId="0" applyFont="1" applyFill="1" applyBorder="1"/>
    <xf numFmtId="0" fontId="17" fillId="11" borderId="41" xfId="0" applyFont="1" applyFill="1" applyBorder="1"/>
    <xf numFmtId="0" fontId="18" fillId="11" borderId="15" xfId="0" applyFont="1" applyFill="1" applyBorder="1"/>
    <xf numFmtId="0" fontId="3" fillId="14" borderId="19" xfId="0" applyFont="1" applyFill="1" applyBorder="1"/>
    <xf numFmtId="0" fontId="3" fillId="14" borderId="15" xfId="0" applyFont="1" applyFill="1" applyBorder="1"/>
    <xf numFmtId="0" fontId="3" fillId="15" borderId="39" xfId="0" applyFont="1" applyFill="1" applyBorder="1"/>
    <xf numFmtId="0" fontId="3" fillId="16" borderId="42" xfId="0" applyFont="1" applyFill="1" applyBorder="1"/>
    <xf numFmtId="0" fontId="3" fillId="16" borderId="6" xfId="0" applyFont="1" applyFill="1" applyBorder="1"/>
    <xf numFmtId="0" fontId="3" fillId="16" borderId="41" xfId="0" applyFont="1" applyFill="1" applyBorder="1"/>
    <xf numFmtId="0" fontId="3" fillId="16" borderId="22" xfId="0" applyFont="1" applyFill="1" applyBorder="1"/>
    <xf numFmtId="0" fontId="3" fillId="16" borderId="7" xfId="0" applyFont="1" applyFill="1" applyBorder="1"/>
    <xf numFmtId="0" fontId="3" fillId="16" borderId="39" xfId="0" applyFont="1" applyFill="1" applyBorder="1"/>
    <xf numFmtId="0" fontId="3" fillId="9" borderId="38" xfId="0" applyFont="1" applyFill="1" applyBorder="1"/>
    <xf numFmtId="0" fontId="3" fillId="9" borderId="15" xfId="0" applyFont="1" applyFill="1" applyBorder="1"/>
    <xf numFmtId="0" fontId="3" fillId="9" borderId="39" xfId="0" applyFont="1" applyFill="1" applyBorder="1"/>
    <xf numFmtId="0" fontId="3" fillId="17" borderId="15" xfId="0" applyFont="1" applyFill="1" applyBorder="1"/>
    <xf numFmtId="0" fontId="3" fillId="18" borderId="10" xfId="0" applyFont="1" applyFill="1" applyBorder="1"/>
    <xf numFmtId="0" fontId="3" fillId="19" borderId="53" xfId="0" applyFont="1" applyFill="1" applyBorder="1" applyAlignment="1">
      <alignment horizontal="right"/>
    </xf>
    <xf numFmtId="0" fontId="3" fillId="19" borderId="53" xfId="0" applyFont="1" applyFill="1" applyBorder="1"/>
    <xf numFmtId="0" fontId="3" fillId="19" borderId="10" xfId="0" applyFont="1" applyFill="1" applyBorder="1"/>
    <xf numFmtId="0" fontId="3" fillId="0" borderId="10" xfId="0" applyFont="1" applyBorder="1"/>
    <xf numFmtId="0" fontId="3" fillId="0" borderId="47" xfId="0" applyFont="1" applyBorder="1"/>
    <xf numFmtId="0" fontId="3" fillId="0" borderId="54" xfId="0" applyFont="1" applyBorder="1"/>
    <xf numFmtId="0" fontId="3" fillId="15" borderId="10" xfId="0" applyFont="1" applyFill="1" applyBorder="1"/>
    <xf numFmtId="0" fontId="3" fillId="20" borderId="42" xfId="0" applyFont="1" applyFill="1" applyBorder="1"/>
    <xf numFmtId="0" fontId="3" fillId="20" borderId="6" xfId="0" applyFont="1" applyFill="1" applyBorder="1"/>
    <xf numFmtId="0" fontId="3" fillId="20" borderId="7" xfId="0" applyFont="1" applyFill="1" applyBorder="1"/>
    <xf numFmtId="0" fontId="3" fillId="20" borderId="15" xfId="0" applyFont="1" applyFill="1" applyBorder="1"/>
    <xf numFmtId="0" fontId="3" fillId="21" borderId="15" xfId="0" applyFont="1" applyFill="1" applyBorder="1"/>
    <xf numFmtId="0" fontId="4" fillId="17" borderId="5" xfId="0" applyFont="1" applyFill="1" applyBorder="1"/>
    <xf numFmtId="0" fontId="4" fillId="17" borderId="39" xfId="0" applyFont="1" applyFill="1" applyBorder="1"/>
    <xf numFmtId="0" fontId="19" fillId="17" borderId="15" xfId="0" applyFont="1" applyFill="1" applyBorder="1"/>
    <xf numFmtId="0" fontId="3" fillId="18" borderId="2" xfId="0" applyFont="1" applyFill="1" applyBorder="1"/>
    <xf numFmtId="0" fontId="3" fillId="18" borderId="1" xfId="0" applyFont="1" applyFill="1" applyBorder="1"/>
    <xf numFmtId="0" fontId="3" fillId="0" borderId="16" xfId="0" applyFont="1" applyBorder="1"/>
    <xf numFmtId="0" fontId="3" fillId="0" borderId="2" xfId="0" applyFont="1" applyBorder="1"/>
    <xf numFmtId="0" fontId="3" fillId="0" borderId="1" xfId="0" applyFont="1" applyBorder="1"/>
    <xf numFmtId="0" fontId="3" fillId="15" borderId="2" xfId="0" applyFont="1" applyFill="1" applyBorder="1"/>
    <xf numFmtId="0" fontId="3" fillId="17" borderId="5" xfId="0" applyFont="1" applyFill="1" applyBorder="1"/>
    <xf numFmtId="0" fontId="3" fillId="17" borderId="38" xfId="0" applyFont="1" applyFill="1" applyBorder="1"/>
    <xf numFmtId="0" fontId="3" fillId="11" borderId="1" xfId="0" applyFont="1" applyFill="1" applyBorder="1"/>
    <xf numFmtId="44" fontId="15" fillId="21" borderId="27" xfId="1" applyFont="1" applyFill="1" applyBorder="1"/>
    <xf numFmtId="44" fontId="0" fillId="21" borderId="28" xfId="1" applyFont="1" applyFill="1" applyBorder="1"/>
    <xf numFmtId="0" fontId="3" fillId="11" borderId="2" xfId="0" applyFont="1" applyFill="1" applyBorder="1" applyAlignment="1">
      <alignment horizontal="right"/>
    </xf>
    <xf numFmtId="0" fontId="3" fillId="16" borderId="2" xfId="0" applyFont="1" applyFill="1" applyBorder="1"/>
    <xf numFmtId="0" fontId="3" fillId="16" borderId="1" xfId="0" applyFont="1" applyFill="1" applyBorder="1"/>
    <xf numFmtId="0" fontId="3" fillId="14" borderId="2" xfId="0" applyFont="1" applyFill="1" applyBorder="1"/>
    <xf numFmtId="0" fontId="3" fillId="14" borderId="1" xfId="0" applyFont="1" applyFill="1" applyBorder="1"/>
    <xf numFmtId="44" fontId="15" fillId="21" borderId="59" xfId="1" applyFont="1" applyFill="1" applyBorder="1"/>
    <xf numFmtId="44" fontId="0" fillId="21" borderId="60" xfId="1" applyFont="1" applyFill="1" applyBorder="1"/>
    <xf numFmtId="44" fontId="20" fillId="11" borderId="44" xfId="0" applyNumberFormat="1" applyFont="1" applyFill="1" applyBorder="1"/>
    <xf numFmtId="0" fontId="20" fillId="11" borderId="47" xfId="0" applyFont="1" applyFill="1" applyBorder="1"/>
    <xf numFmtId="0" fontId="0" fillId="21" borderId="24" xfId="0" applyFill="1" applyBorder="1" applyAlignment="1">
      <alignment horizontal="center"/>
    </xf>
    <xf numFmtId="44" fontId="0" fillId="21" borderId="25" xfId="0" applyNumberFormat="1" applyFill="1" applyBorder="1" applyAlignment="1">
      <alignment horizontal="center"/>
    </xf>
    <xf numFmtId="44" fontId="20" fillId="11" borderId="27" xfId="0" applyNumberFormat="1" applyFont="1" applyFill="1" applyBorder="1"/>
    <xf numFmtId="0" fontId="20" fillId="11" borderId="1" xfId="0" applyFont="1" applyFill="1" applyBorder="1"/>
    <xf numFmtId="0" fontId="3" fillId="21" borderId="30" xfId="0" applyFont="1" applyFill="1" applyBorder="1" applyAlignment="1">
      <alignment horizontal="center"/>
    </xf>
    <xf numFmtId="44" fontId="3" fillId="21" borderId="32" xfId="0" applyNumberFormat="1" applyFont="1" applyFill="1" applyBorder="1" applyAlignment="1">
      <alignment horizontal="center"/>
    </xf>
    <xf numFmtId="0" fontId="20" fillId="11" borderId="28" xfId="0" applyFont="1" applyFill="1" applyBorder="1"/>
    <xf numFmtId="44" fontId="21" fillId="11" borderId="30" xfId="0" applyNumberFormat="1" applyFont="1" applyFill="1" applyBorder="1"/>
    <xf numFmtId="0" fontId="21" fillId="11" borderId="32" xfId="0" applyFont="1" applyFill="1" applyBorder="1"/>
    <xf numFmtId="0" fontId="3" fillId="15" borderId="21" xfId="0" applyFont="1" applyFill="1" applyBorder="1"/>
    <xf numFmtId="0" fontId="3" fillId="15" borderId="11" xfId="0" applyFont="1" applyFill="1" applyBorder="1"/>
    <xf numFmtId="44" fontId="0" fillId="0" borderId="0" xfId="0" applyNumberFormat="1"/>
    <xf numFmtId="0" fontId="0" fillId="9" borderId="6" xfId="0" applyFill="1" applyBorder="1" applyAlignment="1">
      <alignment horizontal="center" wrapText="1"/>
    </xf>
    <xf numFmtId="0" fontId="16" fillId="16" borderId="15" xfId="0" applyFont="1" applyFill="1" applyBorder="1" applyAlignment="1">
      <alignment horizontal="center" wrapText="1"/>
    </xf>
    <xf numFmtId="0" fontId="0" fillId="16" borderId="38" xfId="0" applyFill="1" applyBorder="1" applyAlignment="1">
      <alignment horizontal="center" wrapText="1"/>
    </xf>
    <xf numFmtId="0" fontId="17" fillId="11" borderId="38" xfId="0" applyFont="1" applyFill="1" applyBorder="1"/>
    <xf numFmtId="0" fontId="17" fillId="11" borderId="15" xfId="0" applyFont="1" applyFill="1" applyBorder="1" applyAlignment="1">
      <alignment horizontal="center" wrapText="1"/>
    </xf>
    <xf numFmtId="0" fontId="15" fillId="11" borderId="2" xfId="0" applyFont="1" applyFill="1" applyBorder="1"/>
    <xf numFmtId="0" fontId="15" fillId="11" borderId="31" xfId="0" applyFont="1" applyFill="1" applyBorder="1"/>
    <xf numFmtId="0" fontId="15" fillId="11" borderId="26" xfId="0" applyFont="1" applyFill="1" applyBorder="1" applyAlignment="1">
      <alignment horizontal="center"/>
    </xf>
    <xf numFmtId="0" fontId="15" fillId="11" borderId="61" xfId="0" applyFont="1" applyFill="1" applyBorder="1" applyAlignment="1">
      <alignment horizontal="center"/>
    </xf>
    <xf numFmtId="0" fontId="0" fillId="9" borderId="41" xfId="0" applyFill="1" applyBorder="1" applyAlignment="1">
      <alignment horizontal="center" wrapText="1"/>
    </xf>
    <xf numFmtId="0" fontId="0" fillId="16" borderId="7" xfId="0" applyFill="1" applyBorder="1" applyAlignment="1">
      <alignment horizontal="center" wrapText="1"/>
    </xf>
    <xf numFmtId="0" fontId="19" fillId="0" borderId="44" xfId="0" applyFont="1" applyBorder="1" applyAlignment="1">
      <alignment horizontal="left"/>
    </xf>
    <xf numFmtId="0" fontId="19" fillId="0" borderId="27" xfId="0" applyFont="1" applyBorder="1" applyAlignment="1">
      <alignment horizontal="left"/>
    </xf>
    <xf numFmtId="0" fontId="19" fillId="0" borderId="62" xfId="0" applyFont="1" applyBorder="1" applyAlignment="1">
      <alignment horizontal="left"/>
    </xf>
    <xf numFmtId="0" fontId="19" fillId="0" borderId="30" xfId="0" applyFont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17" borderId="8" xfId="0" applyFill="1" applyBorder="1"/>
    <xf numFmtId="44" fontId="0" fillId="0" borderId="8" xfId="1" applyFont="1" applyBorder="1"/>
    <xf numFmtId="44" fontId="0" fillId="0" borderId="8" xfId="0" applyNumberFormat="1" applyBorder="1"/>
    <xf numFmtId="0" fontId="0" fillId="17" borderId="10" xfId="0" applyFill="1" applyBorder="1"/>
    <xf numFmtId="44" fontId="15" fillId="9" borderId="10" xfId="1" applyFont="1" applyFill="1" applyBorder="1"/>
    <xf numFmtId="44" fontId="0" fillId="0" borderId="10" xfId="0" applyNumberFormat="1" applyBorder="1"/>
    <xf numFmtId="0" fontId="0" fillId="0" borderId="2" xfId="0" applyBorder="1"/>
    <xf numFmtId="44" fontId="15" fillId="9" borderId="2" xfId="1" applyFont="1" applyFill="1" applyBorder="1"/>
    <xf numFmtId="44" fontId="0" fillId="0" borderId="2" xfId="0" applyNumberFormat="1" applyBorder="1"/>
    <xf numFmtId="0" fontId="0" fillId="17" borderId="17" xfId="0" applyFill="1" applyBorder="1"/>
    <xf numFmtId="44" fontId="15" fillId="9" borderId="17" xfId="1" applyFont="1" applyFill="1" applyBorder="1"/>
    <xf numFmtId="44" fontId="0" fillId="0" borderId="17" xfId="0" applyNumberFormat="1" applyBorder="1"/>
    <xf numFmtId="0" fontId="0" fillId="0" borderId="10" xfId="0" applyBorder="1" applyAlignment="1">
      <alignment horizontal="right"/>
    </xf>
    <xf numFmtId="0" fontId="0" fillId="7" borderId="10" xfId="0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7" borderId="2" xfId="0" applyFill="1" applyBorder="1" applyAlignment="1">
      <alignment horizontal="center"/>
    </xf>
    <xf numFmtId="0" fontId="0" fillId="0" borderId="31" xfId="0" applyBorder="1" applyAlignment="1">
      <alignment horizontal="right"/>
    </xf>
    <xf numFmtId="0" fontId="0" fillId="7" borderId="31" xfId="0" applyFill="1" applyBorder="1" applyAlignment="1">
      <alignment horizontal="center"/>
    </xf>
    <xf numFmtId="44" fontId="15" fillId="9" borderId="31" xfId="1" applyFont="1" applyFill="1" applyBorder="1"/>
    <xf numFmtId="44" fontId="0" fillId="0" borderId="31" xfId="0" applyNumberFormat="1" applyBorder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44" fontId="3" fillId="0" borderId="8" xfId="0" applyNumberFormat="1" applyFont="1" applyBorder="1"/>
    <xf numFmtId="0" fontId="0" fillId="17" borderId="10" xfId="0" applyFill="1" applyBorder="1" applyAlignment="1">
      <alignment horizontal="center"/>
    </xf>
    <xf numFmtId="44" fontId="15" fillId="17" borderId="10" xfId="1" applyFont="1" applyFill="1" applyBorder="1"/>
    <xf numFmtId="0" fontId="0" fillId="17" borderId="2" xfId="0" applyFill="1" applyBorder="1" applyAlignment="1">
      <alignment horizontal="center"/>
    </xf>
    <xf numFmtId="0" fontId="0" fillId="0" borderId="12" xfId="0" applyBorder="1"/>
    <xf numFmtId="0" fontId="0" fillId="17" borderId="12" xfId="0" applyFill="1" applyBorder="1" applyAlignment="1">
      <alignment horizontal="center"/>
    </xf>
    <xf numFmtId="44" fontId="0" fillId="0" borderId="12" xfId="1" applyFont="1" applyBorder="1"/>
    <xf numFmtId="44" fontId="0" fillId="0" borderId="10" xfId="1" applyFont="1" applyBorder="1"/>
    <xf numFmtId="44" fontId="0" fillId="0" borderId="2" xfId="1" applyFont="1" applyBorder="1"/>
    <xf numFmtId="0" fontId="3" fillId="0" borderId="12" xfId="0" applyFont="1" applyBorder="1"/>
    <xf numFmtId="44" fontId="3" fillId="0" borderId="12" xfId="1" applyFont="1" applyBorder="1"/>
    <xf numFmtId="0" fontId="0" fillId="0" borderId="10" xfId="0" applyBorder="1" applyAlignment="1">
      <alignment horizontal="center"/>
    </xf>
    <xf numFmtId="44" fontId="1" fillId="0" borderId="10" xfId="1" applyFont="1" applyBorder="1"/>
    <xf numFmtId="0" fontId="0" fillId="0" borderId="53" xfId="0" applyBorder="1" applyAlignment="1">
      <alignment horizontal="center"/>
    </xf>
    <xf numFmtId="10" fontId="15" fillId="17" borderId="4" xfId="0" applyNumberFormat="1" applyFont="1" applyFill="1" applyBorder="1"/>
    <xf numFmtId="44" fontId="1" fillId="0" borderId="53" xfId="1" applyFont="1" applyBorder="1"/>
    <xf numFmtId="44" fontId="22" fillId="16" borderId="15" xfId="1" applyFont="1" applyFill="1" applyBorder="1"/>
    <xf numFmtId="44" fontId="15" fillId="0" borderId="10" xfId="0" applyNumberFormat="1" applyFont="1" applyBorder="1"/>
    <xf numFmtId="0" fontId="0" fillId="12" borderId="10" xfId="0" applyFill="1" applyBorder="1" applyAlignment="1">
      <alignment horizontal="center"/>
    </xf>
    <xf numFmtId="0" fontId="0" fillId="12" borderId="4" xfId="0" applyFill="1" applyBorder="1"/>
    <xf numFmtId="44" fontId="0" fillId="12" borderId="4" xfId="0" applyNumberForma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5" fillId="17" borderId="10" xfId="0" applyFont="1" applyFill="1" applyBorder="1" applyAlignment="1">
      <alignment horizontal="center"/>
    </xf>
    <xf numFmtId="44" fontId="0" fillId="9" borderId="10" xfId="0" applyNumberFormat="1" applyFill="1" applyBorder="1"/>
    <xf numFmtId="0" fontId="0" fillId="0" borderId="4" xfId="0" applyBorder="1" applyAlignment="1">
      <alignment horizontal="right"/>
    </xf>
    <xf numFmtId="0" fontId="15" fillId="17" borderId="2" xfId="0" applyFont="1" applyFill="1" applyBorder="1" applyAlignment="1">
      <alignment horizontal="center"/>
    </xf>
    <xf numFmtId="44" fontId="15" fillId="17" borderId="2" xfId="1" applyFont="1" applyFill="1" applyBorder="1"/>
    <xf numFmtId="0" fontId="2" fillId="14" borderId="1" xfId="0" applyFont="1" applyFill="1" applyBorder="1"/>
    <xf numFmtId="0" fontId="2" fillId="11" borderId="27" xfId="0" applyFont="1" applyFill="1" applyBorder="1"/>
    <xf numFmtId="0" fontId="2" fillId="11" borderId="2" xfId="0" applyFont="1" applyFill="1" applyBorder="1"/>
    <xf numFmtId="0" fontId="2" fillId="11" borderId="1" xfId="0" applyFont="1" applyFill="1" applyBorder="1"/>
    <xf numFmtId="0" fontId="20" fillId="11" borderId="31" xfId="0" applyFont="1" applyFill="1" applyBorder="1"/>
    <xf numFmtId="0" fontId="20" fillId="11" borderId="61" xfId="0" applyFont="1" applyFill="1" applyBorder="1" applyAlignment="1">
      <alignment horizontal="center"/>
    </xf>
    <xf numFmtId="0" fontId="0" fillId="22" borderId="27" xfId="0" applyFill="1" applyBorder="1"/>
    <xf numFmtId="0" fontId="0" fillId="22" borderId="2" xfId="0" applyFill="1" applyBorder="1"/>
    <xf numFmtId="0" fontId="0" fillId="22" borderId="1" xfId="0" applyFill="1" applyBorder="1"/>
    <xf numFmtId="0" fontId="15" fillId="22" borderId="1" xfId="0" applyFont="1" applyFill="1" applyBorder="1"/>
    <xf numFmtId="0" fontId="15" fillId="22" borderId="45" xfId="0" applyFont="1" applyFill="1" applyBorder="1"/>
    <xf numFmtId="0" fontId="15" fillId="22" borderId="57" xfId="0" applyFont="1" applyFill="1" applyBorder="1" applyAlignment="1">
      <alignment horizontal="center"/>
    </xf>
    <xf numFmtId="0" fontId="15" fillId="22" borderId="2" xfId="0" applyFont="1" applyFill="1" applyBorder="1"/>
    <xf numFmtId="0" fontId="15" fillId="22" borderId="26" xfId="0" applyFont="1" applyFill="1" applyBorder="1" applyAlignment="1">
      <alignment horizontal="center"/>
    </xf>
    <xf numFmtId="0" fontId="15" fillId="22" borderId="31" xfId="0" applyFont="1" applyFill="1" applyBorder="1"/>
    <xf numFmtId="0" fontId="15" fillId="22" borderId="61" xfId="0" applyFont="1" applyFill="1" applyBorder="1" applyAlignment="1">
      <alignment horizontal="center"/>
    </xf>
    <xf numFmtId="0" fontId="3" fillId="12" borderId="44" xfId="0" applyFont="1" applyFill="1" applyBorder="1"/>
    <xf numFmtId="0" fontId="0" fillId="0" borderId="45" xfId="0" applyBorder="1"/>
    <xf numFmtId="0" fontId="0" fillId="0" borderId="68" xfId="0" applyBorder="1"/>
    <xf numFmtId="0" fontId="0" fillId="0" borderId="46" xfId="0" applyBorder="1"/>
    <xf numFmtId="0" fontId="0" fillId="0" borderId="27" xfId="0" applyBorder="1" applyAlignment="1">
      <alignment horizontal="right"/>
    </xf>
    <xf numFmtId="0" fontId="0" fillId="0" borderId="1" xfId="0" applyBorder="1"/>
    <xf numFmtId="44" fontId="0" fillId="12" borderId="15" xfId="0" applyNumberFormat="1" applyFill="1" applyBorder="1"/>
    <xf numFmtId="0" fontId="0" fillId="0" borderId="63" xfId="0" applyBorder="1"/>
    <xf numFmtId="9" fontId="0" fillId="0" borderId="2" xfId="0" applyNumberFormat="1" applyBorder="1"/>
    <xf numFmtId="0" fontId="0" fillId="0" borderId="28" xfId="0" applyBorder="1"/>
    <xf numFmtId="0" fontId="0" fillId="0" borderId="59" xfId="0" applyBorder="1" applyAlignment="1">
      <alignment horizontal="right"/>
    </xf>
    <xf numFmtId="44" fontId="0" fillId="0" borderId="12" xfId="0" applyNumberFormat="1" applyBorder="1"/>
    <xf numFmtId="0" fontId="0" fillId="0" borderId="60" xfId="0" applyBorder="1"/>
    <xf numFmtId="0" fontId="0" fillId="0" borderId="24" xfId="0" applyBorder="1"/>
    <xf numFmtId="44" fontId="0" fillId="0" borderId="25" xfId="1" applyFont="1" applyBorder="1"/>
    <xf numFmtId="0" fontId="0" fillId="0" borderId="27" xfId="0" applyBorder="1"/>
    <xf numFmtId="44" fontId="0" fillId="0" borderId="28" xfId="1" applyFont="1" applyBorder="1"/>
    <xf numFmtId="0" fontId="0" fillId="0" borderId="59" xfId="0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60" xfId="0" applyNumberFormat="1" applyBorder="1"/>
    <xf numFmtId="0" fontId="0" fillId="0" borderId="25" xfId="0" applyBorder="1"/>
    <xf numFmtId="0" fontId="0" fillId="0" borderId="28" xfId="0" applyBorder="1" applyAlignment="1">
      <alignment horizontal="center"/>
    </xf>
    <xf numFmtId="44" fontId="16" fillId="17" borderId="2" xfId="0" applyNumberFormat="1" applyFont="1" applyFill="1" applyBorder="1"/>
    <xf numFmtId="0" fontId="3" fillId="0" borderId="2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17" borderId="31" xfId="0" applyFill="1" applyBorder="1" applyAlignment="1">
      <alignment horizontal="center"/>
    </xf>
    <xf numFmtId="0" fontId="0" fillId="0" borderId="31" xfId="0" applyBorder="1"/>
    <xf numFmtId="0" fontId="16" fillId="16" borderId="38" xfId="0" applyFont="1" applyFill="1" applyBorder="1" applyAlignment="1">
      <alignment horizontal="center" wrapText="1"/>
    </xf>
    <xf numFmtId="0" fontId="0" fillId="16" borderId="26" xfId="0" applyFill="1" applyBorder="1"/>
    <xf numFmtId="9" fontId="0" fillId="17" borderId="2" xfId="0" applyNumberFormat="1" applyFill="1" applyBorder="1"/>
    <xf numFmtId="0" fontId="0" fillId="0" borderId="59" xfId="0" applyBorder="1"/>
    <xf numFmtId="0" fontId="0" fillId="17" borderId="12" xfId="0" applyFill="1" applyBorder="1"/>
    <xf numFmtId="44" fontId="0" fillId="0" borderId="60" xfId="1" applyFont="1" applyBorder="1"/>
    <xf numFmtId="0" fontId="0" fillId="0" borderId="24" xfId="0" applyBorder="1" applyAlignment="1">
      <alignment horizontal="center"/>
    </xf>
    <xf numFmtId="44" fontId="0" fillId="0" borderId="25" xfId="0" applyNumberFormat="1" applyBorder="1"/>
    <xf numFmtId="9" fontId="3" fillId="19" borderId="2" xfId="0" applyNumberFormat="1" applyFont="1" applyFill="1" applyBorder="1"/>
    <xf numFmtId="44" fontId="3" fillId="0" borderId="2" xfId="0" applyNumberFormat="1" applyFont="1" applyBorder="1"/>
    <xf numFmtId="44" fontId="0" fillId="21" borderId="28" xfId="0" applyNumberFormat="1" applyFill="1" applyBorder="1"/>
    <xf numFmtId="44" fontId="0" fillId="0" borderId="32" xfId="0" applyNumberFormat="1" applyBorder="1"/>
    <xf numFmtId="0" fontId="3" fillId="22" borderId="2" xfId="0" applyFont="1" applyFill="1" applyBorder="1" applyAlignment="1">
      <alignment horizontal="center"/>
    </xf>
    <xf numFmtId="0" fontId="3" fillId="22" borderId="1" xfId="0" applyFont="1" applyFill="1" applyBorder="1"/>
    <xf numFmtId="0" fontId="0" fillId="7" borderId="69" xfId="0" applyFill="1" applyBorder="1" applyAlignment="1">
      <alignment horizontal="center"/>
    </xf>
    <xf numFmtId="0" fontId="0" fillId="7" borderId="53" xfId="0" applyFill="1" applyBorder="1" applyAlignment="1">
      <alignment horizontal="center"/>
    </xf>
    <xf numFmtId="0" fontId="0" fillId="7" borderId="53" xfId="0" applyFill="1" applyBorder="1"/>
    <xf numFmtId="44" fontId="0" fillId="7" borderId="70" xfId="0" applyNumberFormat="1" applyFill="1" applyBorder="1"/>
    <xf numFmtId="0" fontId="2" fillId="9" borderId="7" xfId="0" applyFont="1" applyFill="1" applyBorder="1" applyAlignment="1">
      <alignment horizontal="center" wrapText="1"/>
    </xf>
    <xf numFmtId="0" fontId="2" fillId="9" borderId="25" xfId="0" applyFont="1" applyFill="1" applyBorder="1"/>
    <xf numFmtId="0" fontId="2" fillId="9" borderId="32" xfId="0" applyFont="1" applyFill="1" applyBorder="1"/>
    <xf numFmtId="0" fontId="18" fillId="9" borderId="39" xfId="0" applyFont="1" applyFill="1" applyBorder="1"/>
    <xf numFmtId="0" fontId="0" fillId="14" borderId="71" xfId="0" applyFill="1" applyBorder="1"/>
    <xf numFmtId="0" fontId="15" fillId="11" borderId="45" xfId="0" applyFont="1" applyFill="1" applyBorder="1"/>
    <xf numFmtId="0" fontId="15" fillId="11" borderId="57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5" xfId="0" applyFont="1" applyBorder="1"/>
    <xf numFmtId="0" fontId="0" fillId="20" borderId="30" xfId="0" applyFill="1" applyBorder="1"/>
    <xf numFmtId="0" fontId="0" fillId="20" borderId="31" xfId="0" applyFill="1" applyBorder="1"/>
    <xf numFmtId="0" fontId="0" fillId="20" borderId="51" xfId="0" applyFill="1" applyBorder="1"/>
    <xf numFmtId="0" fontId="0" fillId="0" borderId="69" xfId="0" applyBorder="1"/>
    <xf numFmtId="0" fontId="8" fillId="0" borderId="15" xfId="0" applyFont="1" applyBorder="1"/>
    <xf numFmtId="0" fontId="3" fillId="21" borderId="55" xfId="0" applyFont="1" applyFill="1" applyBorder="1" applyAlignment="1">
      <alignment horizontal="center"/>
    </xf>
    <xf numFmtId="0" fontId="3" fillId="21" borderId="56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5" borderId="16" xfId="0" applyFont="1" applyFill="1" applyBorder="1" applyAlignment="1">
      <alignment horizontal="center"/>
    </xf>
    <xf numFmtId="0" fontId="3" fillId="20" borderId="11" xfId="0" applyFont="1" applyFill="1" applyBorder="1" applyAlignment="1">
      <alignment horizontal="center"/>
    </xf>
    <xf numFmtId="0" fontId="3" fillId="20" borderId="57" xfId="0" applyFont="1" applyFill="1" applyBorder="1" applyAlignment="1">
      <alignment horizontal="center"/>
    </xf>
    <xf numFmtId="0" fontId="3" fillId="20" borderId="58" xfId="0" applyFont="1" applyFill="1" applyBorder="1" applyAlignment="1">
      <alignment horizontal="center"/>
    </xf>
    <xf numFmtId="0" fontId="3" fillId="21" borderId="5" xfId="0" applyFont="1" applyFill="1" applyBorder="1" applyAlignment="1">
      <alignment horizontal="center"/>
    </xf>
    <xf numFmtId="0" fontId="3" fillId="21" borderId="38" xfId="0" applyFont="1" applyFill="1" applyBorder="1" applyAlignment="1">
      <alignment horizontal="center"/>
    </xf>
    <xf numFmtId="0" fontId="3" fillId="21" borderId="39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3" fillId="15" borderId="38" xfId="0" applyFont="1" applyFill="1" applyBorder="1" applyAlignment="1">
      <alignment horizontal="center"/>
    </xf>
    <xf numFmtId="0" fontId="3" fillId="17" borderId="5" xfId="0" applyFont="1" applyFill="1" applyBorder="1" applyAlignment="1">
      <alignment horizontal="center"/>
    </xf>
    <xf numFmtId="0" fontId="3" fillId="17" borderId="39" xfId="0" applyFont="1" applyFill="1" applyBorder="1" applyAlignment="1">
      <alignment horizontal="center"/>
    </xf>
    <xf numFmtId="0" fontId="3" fillId="15" borderId="11" xfId="0" applyFont="1" applyFill="1" applyBorder="1" applyAlignment="1">
      <alignment horizontal="center"/>
    </xf>
    <xf numFmtId="0" fontId="3" fillId="15" borderId="21" xfId="0" applyFont="1" applyFill="1" applyBorder="1" applyAlignment="1">
      <alignment horizontal="center"/>
    </xf>
    <xf numFmtId="0" fontId="3" fillId="20" borderId="55" xfId="0" applyFont="1" applyFill="1" applyBorder="1" applyAlignment="1">
      <alignment horizontal="center"/>
    </xf>
    <xf numFmtId="0" fontId="3" fillId="20" borderId="56" xfId="0" applyFont="1" applyFill="1" applyBorder="1" applyAlignment="1">
      <alignment horizontal="center"/>
    </xf>
    <xf numFmtId="0" fontId="0" fillId="16" borderId="38" xfId="0" applyFill="1" applyBorder="1" applyAlignment="1">
      <alignment horizontal="center"/>
    </xf>
    <xf numFmtId="0" fontId="0" fillId="16" borderId="37" xfId="0" applyFill="1" applyBorder="1" applyAlignment="1">
      <alignment horizontal="center"/>
    </xf>
    <xf numFmtId="0" fontId="0" fillId="16" borderId="39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17" borderId="38" xfId="0" applyFill="1" applyBorder="1" applyAlignment="1">
      <alignment horizontal="center"/>
    </xf>
    <xf numFmtId="0" fontId="0" fillId="17" borderId="39" xfId="0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4" fillId="13" borderId="30" xfId="0" applyFont="1" applyFill="1" applyBorder="1" applyAlignment="1">
      <alignment horizontal="center"/>
    </xf>
    <xf numFmtId="0" fontId="14" fillId="13" borderId="31" xfId="0" applyFont="1" applyFill="1" applyBorder="1" applyAlignment="1">
      <alignment horizontal="center"/>
    </xf>
    <xf numFmtId="0" fontId="14" fillId="13" borderId="32" xfId="0" applyFont="1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33" xfId="0" applyFill="1" applyBorder="1" applyAlignment="1">
      <alignment horizontal="center"/>
    </xf>
    <xf numFmtId="0" fontId="0" fillId="14" borderId="34" xfId="0" applyFill="1" applyBorder="1" applyAlignment="1">
      <alignment horizontal="center"/>
    </xf>
    <xf numFmtId="0" fontId="0" fillId="14" borderId="35" xfId="0" applyFill="1" applyBorder="1" applyAlignment="1">
      <alignment horizontal="center"/>
    </xf>
    <xf numFmtId="0" fontId="0" fillId="15" borderId="36" xfId="0" applyFill="1" applyBorder="1" applyAlignment="1">
      <alignment horizontal="center"/>
    </xf>
    <xf numFmtId="0" fontId="0" fillId="15" borderId="37" xfId="0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0" fontId="14" fillId="13" borderId="27" xfId="0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/>
    </xf>
    <xf numFmtId="0" fontId="14" fillId="13" borderId="28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3" fillId="2" borderId="26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13" borderId="22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  <xf numFmtId="0" fontId="14" fillId="13" borderId="24" xfId="0" applyFont="1" applyFill="1" applyBorder="1" applyAlignment="1">
      <alignment horizontal="center"/>
    </xf>
    <xf numFmtId="0" fontId="14" fillId="13" borderId="10" xfId="0" applyFont="1" applyFill="1" applyBorder="1" applyAlignment="1">
      <alignment horizontal="center"/>
    </xf>
    <xf numFmtId="0" fontId="14" fillId="13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2" fillId="16" borderId="44" xfId="0" applyFont="1" applyFill="1" applyBorder="1" applyAlignment="1">
      <alignment horizontal="center"/>
    </xf>
    <xf numFmtId="0" fontId="22" fillId="16" borderId="45" xfId="0" applyFont="1" applyFill="1" applyBorder="1" applyAlignment="1">
      <alignment horizontal="center"/>
    </xf>
    <xf numFmtId="0" fontId="22" fillId="16" borderId="46" xfId="0" applyFont="1" applyFill="1" applyBorder="1" applyAlignment="1">
      <alignment horizontal="center"/>
    </xf>
    <xf numFmtId="0" fontId="4" fillId="12" borderId="62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2" borderId="52" xfId="0" applyFont="1" applyFill="1" applyBorder="1" applyAlignment="1">
      <alignment horizontal="center"/>
    </xf>
    <xf numFmtId="0" fontId="4" fillId="17" borderId="45" xfId="0" applyFont="1" applyFill="1" applyBorder="1" applyAlignment="1">
      <alignment horizontal="center"/>
    </xf>
    <xf numFmtId="0" fontId="4" fillId="17" borderId="46" xfId="0" applyFont="1" applyFill="1" applyBorder="1" applyAlignment="1">
      <alignment horizontal="center"/>
    </xf>
    <xf numFmtId="0" fontId="4" fillId="17" borderId="2" xfId="0" applyFont="1" applyFill="1" applyBorder="1" applyAlignment="1">
      <alignment horizontal="center"/>
    </xf>
    <xf numFmtId="0" fontId="4" fillId="17" borderId="28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26" xfId="0" applyFont="1" applyFill="1" applyBorder="1" applyAlignment="1">
      <alignment horizontal="center"/>
    </xf>
    <xf numFmtId="0" fontId="4" fillId="17" borderId="63" xfId="0" applyFont="1" applyFill="1" applyBorder="1" applyAlignment="1">
      <alignment horizontal="center"/>
    </xf>
    <xf numFmtId="0" fontId="4" fillId="17" borderId="31" xfId="0" applyFont="1" applyFill="1" applyBorder="1" applyAlignment="1">
      <alignment horizontal="center" wrapText="1"/>
    </xf>
    <xf numFmtId="0" fontId="4" fillId="17" borderId="32" xfId="0" applyFont="1" applyFill="1" applyBorder="1" applyAlignment="1">
      <alignment horizontal="center" wrapText="1"/>
    </xf>
    <xf numFmtId="0" fontId="19" fillId="0" borderId="64" xfId="0" applyFont="1" applyBorder="1" applyAlignment="1">
      <alignment horizontal="center"/>
    </xf>
    <xf numFmtId="0" fontId="19" fillId="0" borderId="65" xfId="0" applyFont="1" applyBorder="1" applyAlignment="1">
      <alignment horizontal="center"/>
    </xf>
    <xf numFmtId="0" fontId="19" fillId="0" borderId="66" xfId="0" applyFont="1" applyBorder="1" applyAlignment="1">
      <alignment horizontal="center"/>
    </xf>
    <xf numFmtId="0" fontId="22" fillId="16" borderId="5" xfId="0" applyFont="1" applyFill="1" applyBorder="1" applyAlignment="1">
      <alignment horizontal="center"/>
    </xf>
    <xf numFmtId="0" fontId="22" fillId="16" borderId="38" xfId="0" applyFont="1" applyFill="1" applyBorder="1" applyAlignment="1">
      <alignment horizontal="center"/>
    </xf>
    <xf numFmtId="0" fontId="22" fillId="16" borderId="39" xfId="0" applyFont="1" applyFill="1" applyBorder="1" applyAlignment="1">
      <alignment horizontal="center"/>
    </xf>
    <xf numFmtId="0" fontId="15" fillId="0" borderId="47" xfId="0" applyFont="1" applyBorder="1" applyAlignment="1">
      <alignment horizontal="center"/>
    </xf>
    <xf numFmtId="0" fontId="15" fillId="0" borderId="54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4" fillId="9" borderId="51" xfId="0" applyFont="1" applyFill="1" applyBorder="1" applyAlignment="1">
      <alignment horizontal="center"/>
    </xf>
    <xf numFmtId="0" fontId="4" fillId="9" borderId="50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5"/>
  <sheetViews>
    <sheetView workbookViewId="0">
      <selection sqref="A1:XFD1048576"/>
    </sheetView>
  </sheetViews>
  <sheetFormatPr defaultRowHeight="15" x14ac:dyDescent="0.25"/>
  <cols>
    <col min="1" max="1" width="31.85546875" bestFit="1" customWidth="1"/>
    <col min="2" max="2" width="11.5703125" bestFit="1" customWidth="1"/>
    <col min="3" max="3" width="10.5703125" bestFit="1" customWidth="1"/>
    <col min="4" max="4" width="12.5703125" bestFit="1" customWidth="1"/>
    <col min="5" max="5" width="11.5703125" bestFit="1" customWidth="1"/>
    <col min="6" max="6" width="10.5703125" bestFit="1" customWidth="1"/>
    <col min="7" max="7" width="10.140625" customWidth="1"/>
    <col min="8" max="8" width="10.85546875" bestFit="1" customWidth="1"/>
    <col min="16" max="16" width="6.7109375" bestFit="1" customWidth="1"/>
    <col min="17" max="17" width="11" customWidth="1"/>
    <col min="18" max="18" width="10.7109375" bestFit="1" customWidth="1"/>
    <col min="20" max="20" width="9.140625" customWidth="1"/>
    <col min="21" max="21" width="11.28515625" customWidth="1"/>
    <col min="22" max="22" width="9.140625" customWidth="1"/>
    <col min="23" max="23" width="9.140625" hidden="1" customWidth="1"/>
    <col min="24" max="24" width="14" hidden="1" customWidth="1"/>
    <col min="25" max="25" width="9.140625" hidden="1" customWidth="1"/>
    <col min="28" max="28" width="10.140625" bestFit="1" customWidth="1"/>
    <col min="29" max="29" width="6.85546875" bestFit="1" customWidth="1"/>
    <col min="31" max="31" width="12.28515625" customWidth="1"/>
    <col min="32" max="32" width="15.140625" bestFit="1" customWidth="1"/>
  </cols>
  <sheetData>
    <row r="1" spans="1:33" ht="16.5" thickBot="1" x14ac:dyDescent="0.3">
      <c r="A1" s="1" t="s">
        <v>0</v>
      </c>
      <c r="B1" s="395" t="s">
        <v>99</v>
      </c>
      <c r="C1" s="395"/>
      <c r="D1" s="396"/>
      <c r="E1" s="397" t="s">
        <v>44</v>
      </c>
      <c r="F1" s="398"/>
      <c r="G1" s="398"/>
      <c r="H1" s="398"/>
      <c r="I1" s="399"/>
    </row>
    <row r="2" spans="1:33" ht="15.75" x14ac:dyDescent="0.25">
      <c r="A2" s="1" t="s">
        <v>1</v>
      </c>
      <c r="B2" s="395" t="s">
        <v>100</v>
      </c>
      <c r="C2" s="395"/>
      <c r="D2" s="396"/>
      <c r="E2" s="400"/>
      <c r="F2" s="401"/>
      <c r="G2" s="401"/>
      <c r="H2" s="401"/>
      <c r="I2" s="402"/>
    </row>
    <row r="3" spans="1:33" ht="15.75" x14ac:dyDescent="0.25">
      <c r="A3" s="2" t="s">
        <v>45</v>
      </c>
      <c r="B3" s="396"/>
      <c r="C3" s="403"/>
      <c r="D3" s="403"/>
      <c r="E3" s="390"/>
      <c r="F3" s="391"/>
      <c r="G3" s="391"/>
      <c r="H3" s="391"/>
      <c r="I3" s="392"/>
    </row>
    <row r="4" spans="1:33" ht="15.75" x14ac:dyDescent="0.25">
      <c r="A4" s="2" t="s">
        <v>2</v>
      </c>
      <c r="B4" s="388">
        <v>45726</v>
      </c>
      <c r="C4" s="388"/>
      <c r="D4" s="389"/>
      <c r="E4" s="390"/>
      <c r="F4" s="391"/>
      <c r="G4" s="391"/>
      <c r="H4" s="391"/>
      <c r="I4" s="392"/>
    </row>
    <row r="5" spans="1:33" ht="15.75" x14ac:dyDescent="0.25">
      <c r="A5" s="70" t="s">
        <v>46</v>
      </c>
      <c r="B5" s="393"/>
      <c r="C5" s="394"/>
      <c r="D5" s="394"/>
      <c r="E5" s="390"/>
      <c r="F5" s="391"/>
      <c r="G5" s="391"/>
      <c r="H5" s="391"/>
      <c r="I5" s="392"/>
    </row>
    <row r="6" spans="1:33" ht="15.75" x14ac:dyDescent="0.25">
      <c r="A6" s="70" t="s">
        <v>47</v>
      </c>
      <c r="B6" s="393" t="s">
        <v>101</v>
      </c>
      <c r="C6" s="394"/>
      <c r="D6" s="394"/>
      <c r="E6" s="390"/>
      <c r="F6" s="391"/>
      <c r="G6" s="391"/>
      <c r="H6" s="391"/>
      <c r="I6" s="392"/>
    </row>
    <row r="7" spans="1:33" ht="16.5" thickBot="1" x14ac:dyDescent="0.3">
      <c r="A7" s="71" t="s">
        <v>8</v>
      </c>
      <c r="B7" s="376">
        <v>8647</v>
      </c>
      <c r="C7" s="377"/>
      <c r="D7" s="377"/>
      <c r="E7" s="378"/>
      <c r="F7" s="379"/>
      <c r="G7" s="379"/>
      <c r="H7" s="379"/>
      <c r="I7" s="380"/>
    </row>
    <row r="8" spans="1:33" ht="15.75" thickBot="1" x14ac:dyDescent="0.3">
      <c r="A8" s="72" t="s">
        <v>48</v>
      </c>
      <c r="B8" s="381" t="s">
        <v>49</v>
      </c>
      <c r="C8" s="382"/>
      <c r="D8" s="382"/>
      <c r="E8" s="382"/>
      <c r="F8" s="383"/>
      <c r="G8" s="73"/>
      <c r="H8" s="73"/>
      <c r="I8" s="384" t="s">
        <v>50</v>
      </c>
      <c r="J8" s="385"/>
      <c r="K8" s="386" t="s">
        <v>51</v>
      </c>
      <c r="L8" s="387"/>
      <c r="M8" s="387"/>
      <c r="N8" s="367" t="s">
        <v>52</v>
      </c>
      <c r="O8" s="367"/>
      <c r="P8" s="367"/>
      <c r="Q8" s="368"/>
      <c r="R8" s="367"/>
      <c r="S8" s="369"/>
      <c r="T8" s="370" t="s">
        <v>124</v>
      </c>
      <c r="U8" s="367"/>
      <c r="V8" s="367"/>
      <c r="W8" s="370" t="s">
        <v>53</v>
      </c>
      <c r="X8" s="367"/>
      <c r="Y8" s="369"/>
      <c r="Z8" s="371" t="s">
        <v>54</v>
      </c>
      <c r="AA8" s="372"/>
      <c r="AB8" s="372"/>
      <c r="AC8" s="372"/>
      <c r="AD8" s="373"/>
      <c r="AE8" s="374" t="s">
        <v>55</v>
      </c>
      <c r="AF8" s="374"/>
      <c r="AG8" s="375"/>
    </row>
    <row r="9" spans="1:33" ht="45.75" thickBot="1" x14ac:dyDescent="0.3">
      <c r="A9" s="75" t="s">
        <v>56</v>
      </c>
      <c r="B9" s="76" t="s">
        <v>57</v>
      </c>
      <c r="C9" s="77" t="s">
        <v>58</v>
      </c>
      <c r="D9" s="78" t="s">
        <v>59</v>
      </c>
      <c r="E9" s="79" t="s">
        <v>60</v>
      </c>
      <c r="F9" s="79" t="s">
        <v>61</v>
      </c>
      <c r="G9" s="210" t="s">
        <v>107</v>
      </c>
      <c r="H9" s="80" t="s">
        <v>62</v>
      </c>
      <c r="I9" s="81" t="s">
        <v>63</v>
      </c>
      <c r="J9" s="82" t="s">
        <v>64</v>
      </c>
      <c r="K9" s="83" t="s">
        <v>65</v>
      </c>
      <c r="L9" s="84" t="s">
        <v>66</v>
      </c>
      <c r="M9" s="85" t="s">
        <v>67</v>
      </c>
      <c r="N9" s="317" t="s">
        <v>206</v>
      </c>
      <c r="O9" s="317" t="s">
        <v>207</v>
      </c>
      <c r="P9" s="86" t="s">
        <v>104</v>
      </c>
      <c r="Q9" s="207" t="s">
        <v>105</v>
      </c>
      <c r="R9" s="208" t="s">
        <v>106</v>
      </c>
      <c r="S9" s="216" t="s">
        <v>68</v>
      </c>
      <c r="T9" s="87" t="s">
        <v>69</v>
      </c>
      <c r="U9" s="87" t="s">
        <v>70</v>
      </c>
      <c r="V9" s="74" t="s">
        <v>71</v>
      </c>
      <c r="W9" s="87" t="s">
        <v>72</v>
      </c>
      <c r="X9" s="87" t="s">
        <v>73</v>
      </c>
      <c r="Y9" s="87" t="s">
        <v>74</v>
      </c>
      <c r="Z9" s="88" t="s">
        <v>75</v>
      </c>
      <c r="AA9" s="89" t="s">
        <v>76</v>
      </c>
      <c r="AB9" s="206" t="s">
        <v>103</v>
      </c>
      <c r="AC9" s="215" t="s">
        <v>121</v>
      </c>
      <c r="AD9" s="335" t="s">
        <v>77</v>
      </c>
      <c r="AE9" s="90" t="s">
        <v>69</v>
      </c>
      <c r="AF9" s="91" t="s">
        <v>70</v>
      </c>
      <c r="AG9" s="92" t="s">
        <v>55</v>
      </c>
    </row>
    <row r="10" spans="1:33" x14ac:dyDescent="0.25">
      <c r="A10" s="93" t="s">
        <v>102</v>
      </c>
      <c r="B10" s="279">
        <v>68</v>
      </c>
      <c r="C10" s="280">
        <v>5</v>
      </c>
      <c r="D10" s="281">
        <f t="shared" ref="D10:D65" si="0">B10*C10</f>
        <v>340</v>
      </c>
      <c r="E10" s="282"/>
      <c r="F10" s="283">
        <f t="shared" ref="F10:F65" si="1">C10*E10</f>
        <v>0</v>
      </c>
      <c r="G10" s="284" t="s">
        <v>108</v>
      </c>
      <c r="H10" s="98"/>
      <c r="I10" s="99">
        <v>68</v>
      </c>
      <c r="J10" s="100"/>
      <c r="K10" s="101"/>
      <c r="L10" s="102"/>
      <c r="M10" s="103">
        <f>K10*L10</f>
        <v>0</v>
      </c>
      <c r="N10" s="104"/>
      <c r="O10" s="318"/>
      <c r="P10" s="105"/>
      <c r="Q10" s="106">
        <v>68</v>
      </c>
      <c r="R10" s="105">
        <v>5</v>
      </c>
      <c r="S10" s="105"/>
      <c r="T10" s="107"/>
      <c r="U10" s="108"/>
      <c r="V10" s="109">
        <f t="shared" ref="V10:V65" si="2">T10*U10</f>
        <v>0</v>
      </c>
      <c r="W10" s="110"/>
      <c r="X10" s="110"/>
      <c r="Y10" s="111">
        <f>W10*X10</f>
        <v>0</v>
      </c>
      <c r="Z10" s="112"/>
      <c r="AA10" s="113"/>
      <c r="AB10" s="113"/>
      <c r="AC10" s="114"/>
      <c r="AD10" s="336"/>
      <c r="AE10" s="115"/>
      <c r="AF10" s="116"/>
      <c r="AG10" s="117">
        <f t="shared" ref="AG10:AG65" si="3">AE10*AF10</f>
        <v>0</v>
      </c>
    </row>
    <row r="11" spans="1:33" x14ac:dyDescent="0.25">
      <c r="A11" s="93" t="s">
        <v>109</v>
      </c>
      <c r="B11" s="94">
        <v>107.5</v>
      </c>
      <c r="C11" s="95">
        <v>7</v>
      </c>
      <c r="D11" s="96">
        <f>B11*C11-H11</f>
        <v>602.5</v>
      </c>
      <c r="E11" s="97">
        <v>5</v>
      </c>
      <c r="F11" s="211">
        <f t="shared" si="1"/>
        <v>35</v>
      </c>
      <c r="G11" s="213" t="s">
        <v>111</v>
      </c>
      <c r="H11" s="118">
        <v>150</v>
      </c>
      <c r="I11" s="99"/>
      <c r="J11" s="93">
        <v>48</v>
      </c>
      <c r="K11" s="119"/>
      <c r="L11" s="120"/>
      <c r="M11" s="121">
        <f t="shared" ref="M11:M65" si="4">K11*L11</f>
        <v>0</v>
      </c>
      <c r="N11" s="104"/>
      <c r="O11" s="318">
        <v>48</v>
      </c>
      <c r="P11" s="105"/>
      <c r="Q11" s="106"/>
      <c r="R11" s="105"/>
      <c r="S11" s="105"/>
      <c r="T11" s="122"/>
      <c r="U11" s="123"/>
      <c r="V11" s="105">
        <f t="shared" si="2"/>
        <v>0</v>
      </c>
      <c r="W11" s="123"/>
      <c r="X11" s="123"/>
      <c r="Y11" s="124">
        <f t="shared" ref="Y11:Y65" si="5">W11*X11</f>
        <v>0</v>
      </c>
      <c r="Z11" s="112"/>
      <c r="AA11" s="113"/>
      <c r="AB11" s="113">
        <v>5</v>
      </c>
      <c r="AC11" s="114"/>
      <c r="AD11" s="336"/>
      <c r="AE11" s="115"/>
      <c r="AF11" s="116"/>
      <c r="AG11" s="117">
        <f t="shared" si="3"/>
        <v>0</v>
      </c>
    </row>
    <row r="12" spans="1:33" x14ac:dyDescent="0.25">
      <c r="A12" s="93" t="s">
        <v>113</v>
      </c>
      <c r="B12" s="94">
        <v>4.5</v>
      </c>
      <c r="C12" s="95">
        <v>4</v>
      </c>
      <c r="D12" s="96">
        <f t="shared" si="0"/>
        <v>18</v>
      </c>
      <c r="E12" s="97"/>
      <c r="F12" s="211">
        <f t="shared" si="1"/>
        <v>0</v>
      </c>
      <c r="G12" s="213" t="s">
        <v>112</v>
      </c>
      <c r="H12" s="118"/>
      <c r="I12" s="99"/>
      <c r="J12" s="93"/>
      <c r="K12" s="119"/>
      <c r="L12" s="120"/>
      <c r="M12" s="121"/>
      <c r="N12" s="104"/>
      <c r="O12" s="318"/>
      <c r="P12" s="105"/>
      <c r="Q12" s="106"/>
      <c r="R12" s="105"/>
      <c r="S12" s="105"/>
      <c r="T12" s="122"/>
      <c r="U12" s="123"/>
      <c r="V12" s="105">
        <f t="shared" si="2"/>
        <v>0</v>
      </c>
      <c r="W12" s="123"/>
      <c r="X12" s="123"/>
      <c r="Y12" s="124"/>
      <c r="Z12" s="112"/>
      <c r="AA12" s="113"/>
      <c r="AB12" s="113"/>
      <c r="AC12" s="114"/>
      <c r="AD12" s="336"/>
      <c r="AE12" s="115"/>
      <c r="AF12" s="116"/>
      <c r="AG12" s="117"/>
    </row>
    <row r="13" spans="1:33" x14ac:dyDescent="0.25">
      <c r="A13" s="93" t="s">
        <v>110</v>
      </c>
      <c r="B13" s="94">
        <v>32</v>
      </c>
      <c r="C13" s="95">
        <v>10</v>
      </c>
      <c r="D13" s="96">
        <f>B13*C13-H13</f>
        <v>300</v>
      </c>
      <c r="E13" s="97">
        <v>2</v>
      </c>
      <c r="F13" s="211">
        <f t="shared" si="1"/>
        <v>20</v>
      </c>
      <c r="G13" s="213" t="s">
        <v>112</v>
      </c>
      <c r="H13" s="118">
        <v>20</v>
      </c>
      <c r="I13" s="99"/>
      <c r="J13" s="93">
        <v>5</v>
      </c>
      <c r="K13" s="119"/>
      <c r="L13" s="120"/>
      <c r="M13" s="121">
        <f t="shared" si="4"/>
        <v>0</v>
      </c>
      <c r="N13" s="104"/>
      <c r="O13" s="318">
        <v>7</v>
      </c>
      <c r="P13" s="105">
        <v>2</v>
      </c>
      <c r="Q13" s="106">
        <v>5</v>
      </c>
      <c r="R13" s="105"/>
      <c r="S13" s="105"/>
      <c r="T13" s="122"/>
      <c r="U13" s="123"/>
      <c r="V13" s="105">
        <f t="shared" si="2"/>
        <v>0</v>
      </c>
      <c r="W13" s="123"/>
      <c r="X13" s="123"/>
      <c r="Y13" s="124">
        <f t="shared" si="5"/>
        <v>0</v>
      </c>
      <c r="Z13" s="112"/>
      <c r="AA13" s="113"/>
      <c r="AB13" s="113"/>
      <c r="AC13" s="114"/>
      <c r="AD13" s="336"/>
      <c r="AE13" s="115"/>
      <c r="AF13" s="116"/>
      <c r="AG13" s="117">
        <f t="shared" si="3"/>
        <v>0</v>
      </c>
    </row>
    <row r="14" spans="1:33" x14ac:dyDescent="0.25">
      <c r="A14" s="93" t="s">
        <v>114</v>
      </c>
      <c r="B14" s="279">
        <v>19</v>
      </c>
      <c r="C14" s="280">
        <v>2.5</v>
      </c>
      <c r="D14" s="281">
        <f t="shared" si="0"/>
        <v>47.5</v>
      </c>
      <c r="E14" s="282"/>
      <c r="F14" s="285">
        <f t="shared" si="1"/>
        <v>0</v>
      </c>
      <c r="G14" s="286" t="s">
        <v>108</v>
      </c>
      <c r="H14" s="118"/>
      <c r="I14" s="99">
        <v>30</v>
      </c>
      <c r="J14" s="93"/>
      <c r="K14" s="119"/>
      <c r="L14" s="120"/>
      <c r="M14" s="121">
        <f t="shared" si="4"/>
        <v>0</v>
      </c>
      <c r="N14" s="104"/>
      <c r="O14" s="318"/>
      <c r="P14" s="105"/>
      <c r="Q14" s="106">
        <v>19</v>
      </c>
      <c r="R14" s="105">
        <v>1</v>
      </c>
      <c r="S14" s="105">
        <v>12</v>
      </c>
      <c r="T14" s="122"/>
      <c r="U14" s="123"/>
      <c r="V14" s="105">
        <f t="shared" si="2"/>
        <v>0</v>
      </c>
      <c r="W14" s="123"/>
      <c r="X14" s="123"/>
      <c r="Y14" s="124">
        <f t="shared" si="5"/>
        <v>0</v>
      </c>
      <c r="Z14" s="112"/>
      <c r="AA14" s="113"/>
      <c r="AB14" s="113"/>
      <c r="AC14" s="114"/>
      <c r="AD14" s="336"/>
      <c r="AE14" s="115"/>
      <c r="AF14" s="116"/>
      <c r="AG14" s="117">
        <f t="shared" si="3"/>
        <v>0</v>
      </c>
    </row>
    <row r="15" spans="1:33" x14ac:dyDescent="0.25">
      <c r="A15" s="93" t="s">
        <v>115</v>
      </c>
      <c r="B15" s="279">
        <v>25</v>
      </c>
      <c r="C15" s="280">
        <v>3</v>
      </c>
      <c r="D15" s="281">
        <f t="shared" si="0"/>
        <v>75</v>
      </c>
      <c r="E15" s="282"/>
      <c r="F15" s="285">
        <f t="shared" si="1"/>
        <v>0</v>
      </c>
      <c r="G15" s="286" t="s">
        <v>108</v>
      </c>
      <c r="H15" s="118"/>
      <c r="I15" s="99">
        <v>25</v>
      </c>
      <c r="J15" s="93"/>
      <c r="K15" s="119"/>
      <c r="L15" s="120"/>
      <c r="M15" s="121">
        <f t="shared" si="4"/>
        <v>0</v>
      </c>
      <c r="N15" s="104"/>
      <c r="O15" s="318"/>
      <c r="P15" s="105"/>
      <c r="Q15" s="106">
        <v>25</v>
      </c>
      <c r="R15" s="105">
        <v>4</v>
      </c>
      <c r="S15" s="105"/>
      <c r="T15" s="122"/>
      <c r="U15" s="123"/>
      <c r="V15" s="105">
        <f t="shared" si="2"/>
        <v>0</v>
      </c>
      <c r="W15" s="123"/>
      <c r="X15" s="123"/>
      <c r="Y15" s="124">
        <f t="shared" si="5"/>
        <v>0</v>
      </c>
      <c r="Z15" s="112"/>
      <c r="AA15" s="113"/>
      <c r="AB15" s="113"/>
      <c r="AC15" s="114"/>
      <c r="AD15" s="336"/>
      <c r="AE15" s="115"/>
      <c r="AF15" s="116"/>
      <c r="AG15" s="117">
        <f t="shared" si="3"/>
        <v>0</v>
      </c>
    </row>
    <row r="16" spans="1:33" x14ac:dyDescent="0.25">
      <c r="A16" s="93" t="s">
        <v>115</v>
      </c>
      <c r="B16" s="94">
        <v>23</v>
      </c>
      <c r="C16" s="95">
        <v>3.5</v>
      </c>
      <c r="D16" s="96">
        <f t="shared" si="0"/>
        <v>80.5</v>
      </c>
      <c r="E16" s="97">
        <v>4</v>
      </c>
      <c r="F16" s="211">
        <f t="shared" si="1"/>
        <v>14</v>
      </c>
      <c r="G16" s="213" t="s">
        <v>112</v>
      </c>
      <c r="H16" s="118"/>
      <c r="I16" s="99"/>
      <c r="J16" s="93"/>
      <c r="K16" s="119"/>
      <c r="L16" s="120"/>
      <c r="M16" s="121">
        <f t="shared" si="4"/>
        <v>0</v>
      </c>
      <c r="N16" s="104"/>
      <c r="O16" s="318"/>
      <c r="P16" s="105"/>
      <c r="Q16" s="106"/>
      <c r="R16" s="105"/>
      <c r="S16" s="105"/>
      <c r="T16" s="122"/>
      <c r="U16" s="123"/>
      <c r="V16" s="105">
        <f t="shared" si="2"/>
        <v>0</v>
      </c>
      <c r="W16" s="123"/>
      <c r="X16" s="123"/>
      <c r="Y16" s="124">
        <f t="shared" si="5"/>
        <v>0</v>
      </c>
      <c r="Z16" s="112"/>
      <c r="AA16" s="113"/>
      <c r="AB16" s="113"/>
      <c r="AC16" s="114"/>
      <c r="AD16" s="336">
        <v>1</v>
      </c>
      <c r="AE16" s="115">
        <v>5</v>
      </c>
      <c r="AF16" s="116">
        <v>5</v>
      </c>
      <c r="AG16" s="117">
        <f t="shared" si="3"/>
        <v>25</v>
      </c>
    </row>
    <row r="17" spans="1:33" x14ac:dyDescent="0.25">
      <c r="A17" s="93" t="s">
        <v>115</v>
      </c>
      <c r="B17" s="279">
        <v>25</v>
      </c>
      <c r="C17" s="280">
        <v>3</v>
      </c>
      <c r="D17" s="281">
        <f t="shared" ref="D17:D18" si="6">B17*C17</f>
        <v>75</v>
      </c>
      <c r="E17" s="282"/>
      <c r="F17" s="285">
        <f t="shared" ref="F17:F18" si="7">C17*E17</f>
        <v>0</v>
      </c>
      <c r="G17" s="286" t="s">
        <v>108</v>
      </c>
      <c r="H17" s="118"/>
      <c r="I17" s="99">
        <v>25</v>
      </c>
      <c r="J17" s="93"/>
      <c r="K17" s="119"/>
      <c r="L17" s="120"/>
      <c r="M17" s="121">
        <f t="shared" ref="M17:M18" si="8">K17*L17</f>
        <v>0</v>
      </c>
      <c r="N17" s="104"/>
      <c r="O17" s="318"/>
      <c r="P17" s="105"/>
      <c r="Q17" s="106">
        <v>25</v>
      </c>
      <c r="R17" s="105">
        <v>4</v>
      </c>
      <c r="S17" s="105"/>
      <c r="T17" s="122"/>
      <c r="U17" s="123"/>
      <c r="V17" s="105">
        <f t="shared" ref="V17:V18" si="9">T17*U17</f>
        <v>0</v>
      </c>
      <c r="W17" s="123"/>
      <c r="X17" s="123"/>
      <c r="Y17" s="124">
        <f t="shared" ref="Y17:Y18" si="10">W17*X17</f>
        <v>0</v>
      </c>
      <c r="Z17" s="112"/>
      <c r="AA17" s="113"/>
      <c r="AB17" s="113"/>
      <c r="AC17" s="114"/>
      <c r="AD17" s="336"/>
      <c r="AE17" s="115"/>
      <c r="AF17" s="116"/>
      <c r="AG17" s="117">
        <f t="shared" ref="AG17:AG18" si="11">AE17*AF17</f>
        <v>0</v>
      </c>
    </row>
    <row r="18" spans="1:33" x14ac:dyDescent="0.25">
      <c r="A18" s="93" t="s">
        <v>115</v>
      </c>
      <c r="B18" s="94">
        <v>23</v>
      </c>
      <c r="C18" s="95">
        <v>3.5</v>
      </c>
      <c r="D18" s="96">
        <f t="shared" si="6"/>
        <v>80.5</v>
      </c>
      <c r="E18" s="97">
        <v>4</v>
      </c>
      <c r="F18" s="211">
        <f t="shared" si="7"/>
        <v>14</v>
      </c>
      <c r="G18" s="213" t="s">
        <v>112</v>
      </c>
      <c r="H18" s="118"/>
      <c r="I18" s="99"/>
      <c r="J18" s="93"/>
      <c r="K18" s="119"/>
      <c r="L18" s="120"/>
      <c r="M18" s="121">
        <f t="shared" si="8"/>
        <v>0</v>
      </c>
      <c r="N18" s="104"/>
      <c r="O18" s="318"/>
      <c r="P18" s="105"/>
      <c r="Q18" s="106"/>
      <c r="R18" s="105"/>
      <c r="S18" s="105"/>
      <c r="T18" s="122"/>
      <c r="U18" s="123"/>
      <c r="V18" s="105">
        <f t="shared" si="9"/>
        <v>0</v>
      </c>
      <c r="W18" s="123"/>
      <c r="X18" s="123"/>
      <c r="Y18" s="124">
        <f t="shared" si="10"/>
        <v>0</v>
      </c>
      <c r="Z18" s="112"/>
      <c r="AA18" s="113"/>
      <c r="AB18" s="113"/>
      <c r="AC18" s="114"/>
      <c r="AD18" s="336">
        <v>1</v>
      </c>
      <c r="AE18" s="115">
        <v>5</v>
      </c>
      <c r="AF18" s="116">
        <v>5</v>
      </c>
      <c r="AG18" s="117">
        <f t="shared" si="11"/>
        <v>25</v>
      </c>
    </row>
    <row r="19" spans="1:33" x14ac:dyDescent="0.25">
      <c r="A19" s="93" t="s">
        <v>116</v>
      </c>
      <c r="B19" s="279">
        <v>5</v>
      </c>
      <c r="C19" s="280">
        <v>3</v>
      </c>
      <c r="D19" s="281">
        <f t="shared" si="0"/>
        <v>15</v>
      </c>
      <c r="E19" s="282"/>
      <c r="F19" s="285">
        <f t="shared" si="1"/>
        <v>0</v>
      </c>
      <c r="G19" s="286" t="s">
        <v>108</v>
      </c>
      <c r="H19" s="118"/>
      <c r="I19" s="99">
        <v>5</v>
      </c>
      <c r="J19" s="93"/>
      <c r="K19" s="119"/>
      <c r="L19" s="120"/>
      <c r="M19" s="121">
        <f t="shared" si="4"/>
        <v>0</v>
      </c>
      <c r="N19" s="104"/>
      <c r="O19" s="318"/>
      <c r="P19" s="105"/>
      <c r="Q19" s="106">
        <v>5</v>
      </c>
      <c r="R19" s="105"/>
      <c r="S19" s="105"/>
      <c r="T19" s="122"/>
      <c r="U19" s="123"/>
      <c r="V19" s="105">
        <f t="shared" si="2"/>
        <v>0</v>
      </c>
      <c r="W19" s="123"/>
      <c r="X19" s="123"/>
      <c r="Y19" s="124">
        <f t="shared" si="5"/>
        <v>0</v>
      </c>
      <c r="Z19" s="112"/>
      <c r="AA19" s="113"/>
      <c r="AB19" s="113"/>
      <c r="AC19" s="114"/>
      <c r="AD19" s="336"/>
      <c r="AE19" s="115"/>
      <c r="AF19" s="116"/>
      <c r="AG19" s="117">
        <f t="shared" si="3"/>
        <v>0</v>
      </c>
    </row>
    <row r="20" spans="1:33" x14ac:dyDescent="0.25">
      <c r="A20" s="93" t="s">
        <v>117</v>
      </c>
      <c r="B20" s="279">
        <v>19</v>
      </c>
      <c r="C20" s="280">
        <v>4</v>
      </c>
      <c r="D20" s="281">
        <f t="shared" si="0"/>
        <v>76</v>
      </c>
      <c r="E20" s="282"/>
      <c r="F20" s="285">
        <f t="shared" si="1"/>
        <v>0</v>
      </c>
      <c r="G20" s="286" t="s">
        <v>108</v>
      </c>
      <c r="H20" s="118"/>
      <c r="I20" s="99">
        <v>19</v>
      </c>
      <c r="J20" s="93"/>
      <c r="K20" s="119"/>
      <c r="L20" s="120"/>
      <c r="M20" s="121">
        <f t="shared" si="4"/>
        <v>0</v>
      </c>
      <c r="N20" s="104"/>
      <c r="O20" s="318"/>
      <c r="P20" s="105"/>
      <c r="Q20" s="106">
        <v>19</v>
      </c>
      <c r="R20" s="105">
        <v>2</v>
      </c>
      <c r="S20" s="105"/>
      <c r="T20" s="122"/>
      <c r="U20" s="123"/>
      <c r="V20" s="105">
        <f t="shared" si="2"/>
        <v>0</v>
      </c>
      <c r="W20" s="123"/>
      <c r="X20" s="123"/>
      <c r="Y20" s="124">
        <f t="shared" si="5"/>
        <v>0</v>
      </c>
      <c r="Z20" s="112"/>
      <c r="AA20" s="113"/>
      <c r="AB20" s="113"/>
      <c r="AC20" s="114"/>
      <c r="AD20" s="336"/>
      <c r="AE20" s="115"/>
      <c r="AF20" s="116"/>
      <c r="AG20" s="117">
        <f t="shared" si="3"/>
        <v>0</v>
      </c>
    </row>
    <row r="21" spans="1:33" x14ac:dyDescent="0.25">
      <c r="A21" s="93" t="s">
        <v>118</v>
      </c>
      <c r="B21" s="279">
        <v>6</v>
      </c>
      <c r="C21" s="280">
        <v>4.5</v>
      </c>
      <c r="D21" s="281">
        <f t="shared" si="0"/>
        <v>27</v>
      </c>
      <c r="E21" s="282"/>
      <c r="F21" s="285">
        <f t="shared" si="1"/>
        <v>0</v>
      </c>
      <c r="G21" s="286" t="s">
        <v>108</v>
      </c>
      <c r="H21" s="118"/>
      <c r="I21" s="99">
        <v>6</v>
      </c>
      <c r="J21" s="93"/>
      <c r="K21" s="119"/>
      <c r="L21" s="120"/>
      <c r="M21" s="121">
        <f t="shared" si="4"/>
        <v>0</v>
      </c>
      <c r="N21" s="104"/>
      <c r="O21" s="318"/>
      <c r="P21" s="105"/>
      <c r="Q21" s="106">
        <v>6</v>
      </c>
      <c r="R21" s="105">
        <v>1</v>
      </c>
      <c r="S21" s="105"/>
      <c r="T21" s="122"/>
      <c r="U21" s="123"/>
      <c r="V21" s="105">
        <f t="shared" si="2"/>
        <v>0</v>
      </c>
      <c r="W21" s="123"/>
      <c r="X21" s="123"/>
      <c r="Y21" s="124">
        <f t="shared" si="5"/>
        <v>0</v>
      </c>
      <c r="Z21" s="112"/>
      <c r="AA21" s="113"/>
      <c r="AB21" s="113"/>
      <c r="AC21" s="114"/>
      <c r="AD21" s="336"/>
      <c r="AE21" s="115"/>
      <c r="AF21" s="116"/>
      <c r="AG21" s="117">
        <f t="shared" si="3"/>
        <v>0</v>
      </c>
    </row>
    <row r="22" spans="1:33" x14ac:dyDescent="0.25">
      <c r="A22" s="93" t="s">
        <v>118</v>
      </c>
      <c r="B22" s="94">
        <v>5.5</v>
      </c>
      <c r="C22" s="95">
        <v>10</v>
      </c>
      <c r="D22" s="96">
        <f t="shared" si="0"/>
        <v>55</v>
      </c>
      <c r="E22" s="97">
        <v>1</v>
      </c>
      <c r="F22" s="211">
        <f t="shared" si="1"/>
        <v>10</v>
      </c>
      <c r="G22" s="213" t="s">
        <v>112</v>
      </c>
      <c r="H22" s="118"/>
      <c r="I22" s="99"/>
      <c r="J22" s="93"/>
      <c r="K22" s="119"/>
      <c r="L22" s="120"/>
      <c r="M22" s="121">
        <f t="shared" si="4"/>
        <v>0</v>
      </c>
      <c r="N22" s="104"/>
      <c r="O22" s="318"/>
      <c r="P22" s="105"/>
      <c r="Q22" s="106"/>
      <c r="R22" s="105"/>
      <c r="S22" s="105"/>
      <c r="T22" s="122"/>
      <c r="U22" s="123"/>
      <c r="V22" s="105">
        <f t="shared" si="2"/>
        <v>0</v>
      </c>
      <c r="W22" s="123"/>
      <c r="X22" s="123"/>
      <c r="Y22" s="124">
        <f t="shared" si="5"/>
        <v>0</v>
      </c>
      <c r="Z22" s="112"/>
      <c r="AA22" s="113"/>
      <c r="AB22" s="113">
        <v>1</v>
      </c>
      <c r="AC22" s="114"/>
      <c r="AD22" s="336"/>
      <c r="AE22" s="115"/>
      <c r="AF22" s="116"/>
      <c r="AG22" s="117">
        <f t="shared" si="3"/>
        <v>0</v>
      </c>
    </row>
    <row r="23" spans="1:33" x14ac:dyDescent="0.25">
      <c r="A23" s="93" t="s">
        <v>119</v>
      </c>
      <c r="B23" s="279">
        <v>18</v>
      </c>
      <c r="C23" s="280">
        <v>4.5</v>
      </c>
      <c r="D23" s="281">
        <f t="shared" si="0"/>
        <v>81</v>
      </c>
      <c r="E23" s="282"/>
      <c r="F23" s="285">
        <f t="shared" si="1"/>
        <v>0</v>
      </c>
      <c r="G23" s="286" t="s">
        <v>108</v>
      </c>
      <c r="H23" s="118"/>
      <c r="I23" s="99">
        <v>18</v>
      </c>
      <c r="J23" s="93"/>
      <c r="K23" s="119"/>
      <c r="L23" s="120"/>
      <c r="M23" s="121">
        <f t="shared" si="4"/>
        <v>0</v>
      </c>
      <c r="N23" s="104"/>
      <c r="O23" s="318"/>
      <c r="P23" s="105"/>
      <c r="Q23" s="106">
        <v>18</v>
      </c>
      <c r="R23" s="105">
        <v>2</v>
      </c>
      <c r="S23" s="105"/>
      <c r="T23" s="122"/>
      <c r="U23" s="123"/>
      <c r="V23" s="105">
        <f t="shared" si="2"/>
        <v>0</v>
      </c>
      <c r="W23" s="123"/>
      <c r="X23" s="123"/>
      <c r="Y23" s="124">
        <f t="shared" si="5"/>
        <v>0</v>
      </c>
      <c r="Z23" s="112"/>
      <c r="AA23" s="113"/>
      <c r="AB23" s="113"/>
      <c r="AC23" s="114"/>
      <c r="AD23" s="336"/>
      <c r="AE23" s="115"/>
      <c r="AF23" s="116"/>
      <c r="AG23" s="117">
        <f t="shared" si="3"/>
        <v>0</v>
      </c>
    </row>
    <row r="24" spans="1:33" x14ac:dyDescent="0.25">
      <c r="A24" s="93" t="s">
        <v>119</v>
      </c>
      <c r="B24" s="94">
        <v>24</v>
      </c>
      <c r="C24" s="95">
        <v>17</v>
      </c>
      <c r="D24" s="96">
        <f>B24*C24-H24</f>
        <v>368</v>
      </c>
      <c r="E24" s="97">
        <v>2</v>
      </c>
      <c r="F24" s="211">
        <f t="shared" si="1"/>
        <v>34</v>
      </c>
      <c r="G24" s="213" t="s">
        <v>112</v>
      </c>
      <c r="H24" s="118">
        <v>40</v>
      </c>
      <c r="I24" s="99"/>
      <c r="J24" s="93"/>
      <c r="K24" s="119"/>
      <c r="L24" s="120"/>
      <c r="M24" s="121">
        <f t="shared" si="4"/>
        <v>0</v>
      </c>
      <c r="N24" s="104"/>
      <c r="O24" s="318">
        <v>2</v>
      </c>
      <c r="P24" s="105">
        <v>2</v>
      </c>
      <c r="Q24" s="106"/>
      <c r="R24" s="105"/>
      <c r="S24" s="105"/>
      <c r="T24" s="122"/>
      <c r="U24" s="123"/>
      <c r="V24" s="105">
        <f t="shared" si="2"/>
        <v>0</v>
      </c>
      <c r="W24" s="123"/>
      <c r="X24" s="123"/>
      <c r="Y24" s="124">
        <f t="shared" si="5"/>
        <v>0</v>
      </c>
      <c r="Z24" s="112"/>
      <c r="AA24" s="113"/>
      <c r="AB24" s="113">
        <v>2</v>
      </c>
      <c r="AC24" s="114"/>
      <c r="AD24" s="336"/>
      <c r="AE24" s="115"/>
      <c r="AF24" s="116"/>
      <c r="AG24" s="117">
        <f t="shared" si="3"/>
        <v>0</v>
      </c>
    </row>
    <row r="25" spans="1:33" x14ac:dyDescent="0.25">
      <c r="A25" s="93" t="s">
        <v>120</v>
      </c>
      <c r="B25" s="279">
        <v>13</v>
      </c>
      <c r="C25" s="280">
        <v>6.5</v>
      </c>
      <c r="D25" s="281">
        <f t="shared" si="0"/>
        <v>84.5</v>
      </c>
      <c r="E25" s="282"/>
      <c r="F25" s="285">
        <f t="shared" si="1"/>
        <v>0</v>
      </c>
      <c r="G25" s="286" t="s">
        <v>108</v>
      </c>
      <c r="H25" s="118"/>
      <c r="I25" s="99">
        <v>13</v>
      </c>
      <c r="J25" s="93"/>
      <c r="K25" s="119"/>
      <c r="L25" s="120"/>
      <c r="M25" s="121">
        <f t="shared" si="4"/>
        <v>0</v>
      </c>
      <c r="N25" s="104"/>
      <c r="O25" s="318"/>
      <c r="P25" s="105"/>
      <c r="Q25" s="106">
        <v>13</v>
      </c>
      <c r="R25" s="105">
        <v>1</v>
      </c>
      <c r="S25" s="105"/>
      <c r="T25" s="122"/>
      <c r="U25" s="123"/>
      <c r="V25" s="105">
        <f t="shared" si="2"/>
        <v>0</v>
      </c>
      <c r="W25" s="123"/>
      <c r="X25" s="123"/>
      <c r="Y25" s="124">
        <f t="shared" si="5"/>
        <v>0</v>
      </c>
      <c r="Z25" s="112"/>
      <c r="AA25" s="113"/>
      <c r="AB25" s="113"/>
      <c r="AC25" s="114"/>
      <c r="AD25" s="336"/>
      <c r="AE25" s="115"/>
      <c r="AF25" s="116"/>
      <c r="AG25" s="117">
        <f t="shared" si="3"/>
        <v>0</v>
      </c>
    </row>
    <row r="26" spans="1:33" x14ac:dyDescent="0.25">
      <c r="A26" s="93" t="s">
        <v>120</v>
      </c>
      <c r="B26" s="94">
        <v>12.5</v>
      </c>
      <c r="C26" s="95">
        <v>10</v>
      </c>
      <c r="D26" s="96">
        <f t="shared" si="0"/>
        <v>125</v>
      </c>
      <c r="E26" s="97">
        <v>1</v>
      </c>
      <c r="F26" s="211">
        <f t="shared" si="1"/>
        <v>10</v>
      </c>
      <c r="G26" s="213" t="s">
        <v>112</v>
      </c>
      <c r="H26" s="118"/>
      <c r="I26" s="99"/>
      <c r="J26" s="93"/>
      <c r="K26" s="119"/>
      <c r="L26" s="120"/>
      <c r="M26" s="121">
        <f t="shared" si="4"/>
        <v>0</v>
      </c>
      <c r="N26" s="104"/>
      <c r="O26" s="318"/>
      <c r="P26" s="105"/>
      <c r="Q26" s="106"/>
      <c r="R26" s="105"/>
      <c r="S26" s="105"/>
      <c r="T26" s="122"/>
      <c r="U26" s="123"/>
      <c r="V26" s="105">
        <f t="shared" si="2"/>
        <v>0</v>
      </c>
      <c r="W26" s="123"/>
      <c r="X26" s="123"/>
      <c r="Y26" s="124">
        <f t="shared" si="5"/>
        <v>0</v>
      </c>
      <c r="Z26" s="112"/>
      <c r="AA26" s="113"/>
      <c r="AB26" s="113">
        <v>1</v>
      </c>
      <c r="AC26" s="114">
        <v>1</v>
      </c>
      <c r="AD26" s="336"/>
      <c r="AE26" s="115"/>
      <c r="AF26" s="116"/>
      <c r="AG26" s="117">
        <f t="shared" si="3"/>
        <v>0</v>
      </c>
    </row>
    <row r="27" spans="1:33" x14ac:dyDescent="0.25">
      <c r="A27" s="93" t="s">
        <v>122</v>
      </c>
      <c r="B27" s="279">
        <v>10</v>
      </c>
      <c r="C27" s="280">
        <v>3</v>
      </c>
      <c r="D27" s="281">
        <f t="shared" si="0"/>
        <v>30</v>
      </c>
      <c r="E27" s="282"/>
      <c r="F27" s="285">
        <f t="shared" si="1"/>
        <v>0</v>
      </c>
      <c r="G27" s="286" t="s">
        <v>108</v>
      </c>
      <c r="H27" s="118"/>
      <c r="I27" s="99">
        <v>6</v>
      </c>
      <c r="J27" s="93"/>
      <c r="K27" s="119">
        <v>3.5</v>
      </c>
      <c r="L27" s="120">
        <v>4</v>
      </c>
      <c r="M27" s="121">
        <f t="shared" si="4"/>
        <v>14</v>
      </c>
      <c r="N27" s="104"/>
      <c r="O27" s="318"/>
      <c r="P27" s="105"/>
      <c r="Q27" s="106"/>
      <c r="R27" s="105"/>
      <c r="S27" s="105"/>
      <c r="T27" s="122">
        <v>4</v>
      </c>
      <c r="U27" s="123">
        <v>1.75</v>
      </c>
      <c r="V27" s="105">
        <f t="shared" si="2"/>
        <v>7</v>
      </c>
      <c r="W27" s="123"/>
      <c r="X27" s="123"/>
      <c r="Y27" s="124">
        <f t="shared" si="5"/>
        <v>0</v>
      </c>
      <c r="Z27" s="112"/>
      <c r="AA27" s="113"/>
      <c r="AB27" s="113"/>
      <c r="AC27" s="114"/>
      <c r="AD27" s="336"/>
      <c r="AE27" s="115"/>
      <c r="AF27" s="116"/>
      <c r="AG27" s="117">
        <f t="shared" si="3"/>
        <v>0</v>
      </c>
    </row>
    <row r="28" spans="1:33" x14ac:dyDescent="0.25">
      <c r="A28" s="93" t="s">
        <v>122</v>
      </c>
      <c r="B28" s="279">
        <v>10</v>
      </c>
      <c r="C28" s="280">
        <v>3</v>
      </c>
      <c r="D28" s="281">
        <f t="shared" ref="D28" si="12">B28*C28</f>
        <v>30</v>
      </c>
      <c r="E28" s="282"/>
      <c r="F28" s="285">
        <f t="shared" ref="F28" si="13">C28*E28</f>
        <v>0</v>
      </c>
      <c r="G28" s="286" t="s">
        <v>108</v>
      </c>
      <c r="H28" s="118"/>
      <c r="I28" s="99">
        <v>7</v>
      </c>
      <c r="J28" s="93"/>
      <c r="K28" s="119">
        <v>3.5</v>
      </c>
      <c r="L28" s="120">
        <v>4</v>
      </c>
      <c r="M28" s="121">
        <f t="shared" ref="M28" si="14">K28*L28</f>
        <v>14</v>
      </c>
      <c r="N28" s="104"/>
      <c r="O28" s="318"/>
      <c r="P28" s="105"/>
      <c r="Q28" s="106"/>
      <c r="R28" s="105"/>
      <c r="S28" s="105"/>
      <c r="T28" s="122">
        <v>4</v>
      </c>
      <c r="U28" s="123">
        <v>1.75</v>
      </c>
      <c r="V28" s="105">
        <f t="shared" ref="V28" si="15">T28*U28</f>
        <v>7</v>
      </c>
      <c r="W28" s="123"/>
      <c r="X28" s="123"/>
      <c r="Y28" s="124">
        <f t="shared" si="5"/>
        <v>0</v>
      </c>
      <c r="Z28" s="112"/>
      <c r="AA28" s="113"/>
      <c r="AB28" s="113"/>
      <c r="AC28" s="114"/>
      <c r="AD28" s="336"/>
      <c r="AE28" s="115"/>
      <c r="AF28" s="116"/>
      <c r="AG28" s="117">
        <f t="shared" si="3"/>
        <v>0</v>
      </c>
    </row>
    <row r="29" spans="1:33" x14ac:dyDescent="0.25">
      <c r="A29" s="93" t="s">
        <v>123</v>
      </c>
      <c r="B29" s="279">
        <v>62</v>
      </c>
      <c r="C29" s="280">
        <v>6</v>
      </c>
      <c r="D29" s="281">
        <f t="shared" si="0"/>
        <v>372</v>
      </c>
      <c r="E29" s="282"/>
      <c r="F29" s="285">
        <f t="shared" si="1"/>
        <v>0</v>
      </c>
      <c r="G29" s="286" t="s">
        <v>108</v>
      </c>
      <c r="H29" s="118"/>
      <c r="I29" s="99">
        <v>128</v>
      </c>
      <c r="J29" s="93"/>
      <c r="K29" s="119">
        <v>62</v>
      </c>
      <c r="L29" s="120">
        <v>2</v>
      </c>
      <c r="M29" s="121">
        <f t="shared" si="4"/>
        <v>124</v>
      </c>
      <c r="N29" s="104"/>
      <c r="O29" s="318"/>
      <c r="P29" s="105"/>
      <c r="Q29" s="106"/>
      <c r="R29" s="105"/>
      <c r="S29" s="105"/>
      <c r="T29" s="122">
        <v>62</v>
      </c>
      <c r="U29" s="123">
        <v>1.75</v>
      </c>
      <c r="V29" s="105">
        <f t="shared" si="2"/>
        <v>108.5</v>
      </c>
      <c r="W29" s="123"/>
      <c r="X29" s="123"/>
      <c r="Y29" s="124">
        <f t="shared" si="5"/>
        <v>0</v>
      </c>
      <c r="Z29" s="112"/>
      <c r="AA29" s="113"/>
      <c r="AB29" s="113"/>
      <c r="AC29" s="114"/>
      <c r="AD29" s="336"/>
      <c r="AE29" s="115"/>
      <c r="AF29" s="116"/>
      <c r="AG29" s="117">
        <f t="shared" si="3"/>
        <v>0</v>
      </c>
    </row>
    <row r="30" spans="1:33" x14ac:dyDescent="0.25">
      <c r="A30" s="93" t="s">
        <v>125</v>
      </c>
      <c r="B30" s="279">
        <v>16</v>
      </c>
      <c r="C30" s="280">
        <v>5</v>
      </c>
      <c r="D30" s="281">
        <f t="shared" si="0"/>
        <v>80</v>
      </c>
      <c r="E30" s="282"/>
      <c r="F30" s="285">
        <f t="shared" si="1"/>
        <v>0</v>
      </c>
      <c r="G30" s="286" t="s">
        <v>108</v>
      </c>
      <c r="H30" s="118"/>
      <c r="I30" s="99">
        <v>16</v>
      </c>
      <c r="J30" s="93"/>
      <c r="K30" s="119"/>
      <c r="L30" s="120"/>
      <c r="M30" s="121">
        <f t="shared" si="4"/>
        <v>0</v>
      </c>
      <c r="N30" s="104"/>
      <c r="O30" s="318"/>
      <c r="P30" s="105">
        <v>16</v>
      </c>
      <c r="Q30" s="106"/>
      <c r="R30" s="105"/>
      <c r="S30" s="105"/>
      <c r="T30" s="122"/>
      <c r="U30" s="123"/>
      <c r="V30" s="105">
        <f t="shared" si="2"/>
        <v>0</v>
      </c>
      <c r="W30" s="123"/>
      <c r="X30" s="123"/>
      <c r="Y30" s="124">
        <f t="shared" si="5"/>
        <v>0</v>
      </c>
      <c r="Z30" s="112"/>
      <c r="AA30" s="113"/>
      <c r="AB30" s="113"/>
      <c r="AC30" s="114"/>
      <c r="AD30" s="336"/>
      <c r="AE30" s="115"/>
      <c r="AF30" s="116"/>
      <c r="AG30" s="117">
        <f t="shared" si="3"/>
        <v>0</v>
      </c>
    </row>
    <row r="31" spans="1:33" x14ac:dyDescent="0.25">
      <c r="A31" s="93" t="s">
        <v>126</v>
      </c>
      <c r="B31" s="279">
        <v>14</v>
      </c>
      <c r="C31" s="280">
        <v>8</v>
      </c>
      <c r="D31" s="281">
        <f t="shared" si="0"/>
        <v>112</v>
      </c>
      <c r="E31" s="282"/>
      <c r="F31" s="285">
        <f t="shared" si="1"/>
        <v>0</v>
      </c>
      <c r="G31" s="286" t="s">
        <v>108</v>
      </c>
      <c r="H31" s="118"/>
      <c r="I31" s="99">
        <v>14</v>
      </c>
      <c r="J31" s="93"/>
      <c r="K31" s="119"/>
      <c r="L31" s="120"/>
      <c r="M31" s="121">
        <f t="shared" si="4"/>
        <v>0</v>
      </c>
      <c r="N31" s="104"/>
      <c r="O31" s="318"/>
      <c r="P31" s="105"/>
      <c r="Q31" s="106">
        <v>14</v>
      </c>
      <c r="R31" s="105">
        <v>1</v>
      </c>
      <c r="S31" s="105"/>
      <c r="T31" s="122"/>
      <c r="U31" s="123"/>
      <c r="V31" s="105">
        <f t="shared" si="2"/>
        <v>0</v>
      </c>
      <c r="W31" s="123"/>
      <c r="X31" s="123"/>
      <c r="Y31" s="124">
        <f t="shared" si="5"/>
        <v>0</v>
      </c>
      <c r="Z31" s="112"/>
      <c r="AA31" s="113"/>
      <c r="AB31" s="113"/>
      <c r="AC31" s="114"/>
      <c r="AD31" s="336"/>
      <c r="AE31" s="115"/>
      <c r="AF31" s="116"/>
      <c r="AG31" s="117">
        <f t="shared" si="3"/>
        <v>0</v>
      </c>
    </row>
    <row r="32" spans="1:33" x14ac:dyDescent="0.25">
      <c r="A32" s="93" t="s">
        <v>127</v>
      </c>
      <c r="B32" s="279">
        <v>17.5</v>
      </c>
      <c r="C32" s="280">
        <v>10.5</v>
      </c>
      <c r="D32" s="281">
        <f t="shared" si="0"/>
        <v>183.75</v>
      </c>
      <c r="E32" s="282"/>
      <c r="F32" s="285">
        <f t="shared" si="1"/>
        <v>0</v>
      </c>
      <c r="G32" s="286" t="s">
        <v>108</v>
      </c>
      <c r="H32" s="118"/>
      <c r="I32" s="99">
        <v>17.5</v>
      </c>
      <c r="J32" s="93"/>
      <c r="K32" s="119"/>
      <c r="L32" s="120"/>
      <c r="M32" s="121">
        <f t="shared" si="4"/>
        <v>0</v>
      </c>
      <c r="N32" s="104">
        <v>3</v>
      </c>
      <c r="O32" s="318"/>
      <c r="P32" s="105"/>
      <c r="Q32" s="106">
        <v>21</v>
      </c>
      <c r="R32" s="105">
        <v>2</v>
      </c>
      <c r="S32" s="105"/>
      <c r="T32" s="122"/>
      <c r="U32" s="123"/>
      <c r="V32" s="105">
        <f t="shared" si="2"/>
        <v>0</v>
      </c>
      <c r="W32" s="123"/>
      <c r="X32" s="123"/>
      <c r="Y32" s="124">
        <f t="shared" si="5"/>
        <v>0</v>
      </c>
      <c r="Z32" s="112"/>
      <c r="AA32" s="113"/>
      <c r="AB32" s="113"/>
      <c r="AC32" s="114"/>
      <c r="AD32" s="336"/>
      <c r="AE32" s="115"/>
      <c r="AF32" s="116"/>
      <c r="AG32" s="117">
        <f t="shared" si="3"/>
        <v>0</v>
      </c>
    </row>
    <row r="33" spans="1:33" x14ac:dyDescent="0.25">
      <c r="A33" s="93" t="s">
        <v>127</v>
      </c>
      <c r="B33" s="279">
        <v>5</v>
      </c>
      <c r="C33" s="280">
        <v>8</v>
      </c>
      <c r="D33" s="281">
        <f t="shared" si="0"/>
        <v>40</v>
      </c>
      <c r="E33" s="282"/>
      <c r="F33" s="285">
        <f t="shared" si="1"/>
        <v>0</v>
      </c>
      <c r="G33" s="286" t="s">
        <v>108</v>
      </c>
      <c r="H33" s="118"/>
      <c r="I33" s="99">
        <v>5</v>
      </c>
      <c r="J33" s="93"/>
      <c r="K33" s="119"/>
      <c r="L33" s="120"/>
      <c r="M33" s="121">
        <f t="shared" si="4"/>
        <v>0</v>
      </c>
      <c r="N33" s="104"/>
      <c r="O33" s="318"/>
      <c r="P33" s="105"/>
      <c r="Q33" s="106">
        <v>5</v>
      </c>
      <c r="R33" s="105">
        <v>1</v>
      </c>
      <c r="S33" s="105"/>
      <c r="T33" s="122"/>
      <c r="U33" s="123"/>
      <c r="V33" s="105">
        <f t="shared" si="2"/>
        <v>0</v>
      </c>
      <c r="W33" s="123"/>
      <c r="X33" s="123"/>
      <c r="Y33" s="124">
        <f t="shared" si="5"/>
        <v>0</v>
      </c>
      <c r="Z33" s="112"/>
      <c r="AA33" s="113"/>
      <c r="AB33" s="113"/>
      <c r="AC33" s="114"/>
      <c r="AD33" s="336"/>
      <c r="AE33" s="115"/>
      <c r="AF33" s="116"/>
      <c r="AG33" s="117">
        <f t="shared" si="3"/>
        <v>0</v>
      </c>
    </row>
    <row r="34" spans="1:33" x14ac:dyDescent="0.25">
      <c r="A34" s="93" t="s">
        <v>128</v>
      </c>
      <c r="B34" s="279">
        <v>24</v>
      </c>
      <c r="C34" s="280">
        <v>12</v>
      </c>
      <c r="D34" s="281">
        <f t="shared" si="0"/>
        <v>288</v>
      </c>
      <c r="E34" s="282"/>
      <c r="F34" s="285">
        <f t="shared" si="1"/>
        <v>0</v>
      </c>
      <c r="G34" s="286" t="s">
        <v>108</v>
      </c>
      <c r="H34" s="118"/>
      <c r="I34" s="99">
        <v>24</v>
      </c>
      <c r="J34" s="93">
        <v>5</v>
      </c>
      <c r="K34" s="119"/>
      <c r="L34" s="120"/>
      <c r="M34" s="121">
        <f t="shared" si="4"/>
        <v>0</v>
      </c>
      <c r="N34" s="104">
        <v>5</v>
      </c>
      <c r="O34" s="318"/>
      <c r="P34" s="105"/>
      <c r="Q34" s="106">
        <v>29</v>
      </c>
      <c r="R34" s="105"/>
      <c r="S34" s="105"/>
      <c r="T34" s="122"/>
      <c r="U34" s="123"/>
      <c r="V34" s="105">
        <f t="shared" si="2"/>
        <v>0</v>
      </c>
      <c r="W34" s="123"/>
      <c r="X34" s="123"/>
      <c r="Y34" s="124">
        <f t="shared" si="5"/>
        <v>0</v>
      </c>
      <c r="Z34" s="112"/>
      <c r="AA34" s="113"/>
      <c r="AB34" s="113"/>
      <c r="AC34" s="114"/>
      <c r="AD34" s="336"/>
      <c r="AE34" s="115"/>
      <c r="AF34" s="116"/>
      <c r="AG34" s="117">
        <f t="shared" si="3"/>
        <v>0</v>
      </c>
    </row>
    <row r="35" spans="1:33" x14ac:dyDescent="0.25">
      <c r="A35" s="93" t="s">
        <v>129</v>
      </c>
      <c r="B35" s="279">
        <v>22</v>
      </c>
      <c r="C35" s="280">
        <v>12.5</v>
      </c>
      <c r="D35" s="281">
        <f>B35*C35-H35</f>
        <v>240</v>
      </c>
      <c r="E35" s="282"/>
      <c r="F35" s="285">
        <f t="shared" si="1"/>
        <v>0</v>
      </c>
      <c r="G35" s="286" t="s">
        <v>108</v>
      </c>
      <c r="H35" s="118">
        <v>35</v>
      </c>
      <c r="I35" s="99">
        <v>22</v>
      </c>
      <c r="J35" s="93">
        <v>9</v>
      </c>
      <c r="K35" s="119"/>
      <c r="L35" s="120"/>
      <c r="M35" s="121">
        <f t="shared" si="4"/>
        <v>0</v>
      </c>
      <c r="N35" s="104">
        <v>9</v>
      </c>
      <c r="O35" s="318"/>
      <c r="P35" s="105"/>
      <c r="Q35" s="106">
        <v>31</v>
      </c>
      <c r="R35" s="105">
        <v>2</v>
      </c>
      <c r="S35" s="105"/>
      <c r="T35" s="122"/>
      <c r="U35" s="123"/>
      <c r="V35" s="105">
        <f t="shared" si="2"/>
        <v>0</v>
      </c>
      <c r="W35" s="123"/>
      <c r="X35" s="123"/>
      <c r="Y35" s="124">
        <f t="shared" si="5"/>
        <v>0</v>
      </c>
      <c r="Z35" s="112"/>
      <c r="AA35" s="113"/>
      <c r="AB35" s="113"/>
      <c r="AC35" s="114"/>
      <c r="AD35" s="336"/>
      <c r="AE35" s="115"/>
      <c r="AF35" s="116"/>
      <c r="AG35" s="117">
        <f t="shared" si="3"/>
        <v>0</v>
      </c>
    </row>
    <row r="36" spans="1:33" x14ac:dyDescent="0.25">
      <c r="A36" s="93" t="s">
        <v>130</v>
      </c>
      <c r="B36" s="279">
        <v>17</v>
      </c>
      <c r="C36" s="280">
        <v>12</v>
      </c>
      <c r="D36" s="281">
        <f>B36*C36-H36</f>
        <v>179</v>
      </c>
      <c r="E36" s="282"/>
      <c r="F36" s="285">
        <f t="shared" si="1"/>
        <v>0</v>
      </c>
      <c r="G36" s="286" t="s">
        <v>108</v>
      </c>
      <c r="H36" s="118">
        <v>25</v>
      </c>
      <c r="I36" s="99">
        <v>17</v>
      </c>
      <c r="J36" s="93">
        <v>6</v>
      </c>
      <c r="K36" s="119"/>
      <c r="L36" s="120"/>
      <c r="M36" s="121">
        <f t="shared" si="4"/>
        <v>0</v>
      </c>
      <c r="N36" s="104">
        <v>6</v>
      </c>
      <c r="O36" s="318"/>
      <c r="P36" s="105"/>
      <c r="Q36" s="106">
        <v>24</v>
      </c>
      <c r="R36" s="105"/>
      <c r="S36" s="105"/>
      <c r="T36" s="122"/>
      <c r="U36" s="123"/>
      <c r="V36" s="105">
        <f t="shared" si="2"/>
        <v>0</v>
      </c>
      <c r="W36" s="123"/>
      <c r="X36" s="123"/>
      <c r="Y36" s="124">
        <f t="shared" si="5"/>
        <v>0</v>
      </c>
      <c r="Z36" s="112"/>
      <c r="AA36" s="113"/>
      <c r="AB36" s="113"/>
      <c r="AC36" s="114"/>
      <c r="AD36" s="336"/>
      <c r="AE36" s="115"/>
      <c r="AF36" s="116"/>
      <c r="AG36" s="117">
        <f t="shared" si="3"/>
        <v>0</v>
      </c>
    </row>
    <row r="37" spans="1:33" x14ac:dyDescent="0.25">
      <c r="A37" s="93" t="s">
        <v>130</v>
      </c>
      <c r="B37" s="279">
        <v>4</v>
      </c>
      <c r="C37" s="280">
        <v>7.5</v>
      </c>
      <c r="D37" s="281">
        <f t="shared" si="0"/>
        <v>30</v>
      </c>
      <c r="E37" s="282"/>
      <c r="F37" s="285">
        <f t="shared" si="1"/>
        <v>0</v>
      </c>
      <c r="G37" s="286" t="s">
        <v>108</v>
      </c>
      <c r="H37" s="118"/>
      <c r="I37" s="99">
        <v>4</v>
      </c>
      <c r="J37" s="93"/>
      <c r="K37" s="119"/>
      <c r="L37" s="120"/>
      <c r="M37" s="121">
        <f t="shared" si="4"/>
        <v>0</v>
      </c>
      <c r="N37" s="104"/>
      <c r="O37" s="318"/>
      <c r="P37" s="105"/>
      <c r="Q37" s="106">
        <v>4</v>
      </c>
      <c r="R37" s="105">
        <v>1</v>
      </c>
      <c r="S37" s="105"/>
      <c r="T37" s="122"/>
      <c r="U37" s="123"/>
      <c r="V37" s="105">
        <f t="shared" si="2"/>
        <v>0</v>
      </c>
      <c r="W37" s="123"/>
      <c r="X37" s="123"/>
      <c r="Y37" s="124">
        <f t="shared" si="5"/>
        <v>0</v>
      </c>
      <c r="Z37" s="112"/>
      <c r="AA37" s="113"/>
      <c r="AB37" s="113"/>
      <c r="AC37" s="114"/>
      <c r="AD37" s="336"/>
      <c r="AE37" s="115"/>
      <c r="AF37" s="116"/>
      <c r="AG37" s="117">
        <f t="shared" si="3"/>
        <v>0</v>
      </c>
    </row>
    <row r="38" spans="1:33" x14ac:dyDescent="0.25">
      <c r="A38" s="93" t="s">
        <v>131</v>
      </c>
      <c r="B38" s="279">
        <v>13</v>
      </c>
      <c r="C38" s="280">
        <v>3</v>
      </c>
      <c r="D38" s="281">
        <f t="shared" si="0"/>
        <v>39</v>
      </c>
      <c r="E38" s="282"/>
      <c r="F38" s="285">
        <f t="shared" si="1"/>
        <v>0</v>
      </c>
      <c r="G38" s="286" t="s">
        <v>108</v>
      </c>
      <c r="H38" s="118"/>
      <c r="I38" s="99">
        <v>13</v>
      </c>
      <c r="J38" s="93"/>
      <c r="K38" s="119"/>
      <c r="L38" s="120"/>
      <c r="M38" s="121">
        <f t="shared" si="4"/>
        <v>0</v>
      </c>
      <c r="N38" s="104"/>
      <c r="O38" s="318"/>
      <c r="P38" s="105"/>
      <c r="Q38" s="106">
        <v>13</v>
      </c>
      <c r="R38" s="105">
        <v>2</v>
      </c>
      <c r="S38" s="105">
        <v>6</v>
      </c>
      <c r="T38" s="122"/>
      <c r="U38" s="123"/>
      <c r="V38" s="105">
        <f t="shared" si="2"/>
        <v>0</v>
      </c>
      <c r="W38" s="123"/>
      <c r="X38" s="123"/>
      <c r="Y38" s="124">
        <f t="shared" si="5"/>
        <v>0</v>
      </c>
      <c r="Z38" s="112"/>
      <c r="AA38" s="113"/>
      <c r="AB38" s="113"/>
      <c r="AC38" s="114"/>
      <c r="AD38" s="336"/>
      <c r="AE38" s="115"/>
      <c r="AF38" s="116"/>
      <c r="AG38" s="117">
        <f t="shared" si="3"/>
        <v>0</v>
      </c>
    </row>
    <row r="39" spans="1:33" x14ac:dyDescent="0.25">
      <c r="A39" s="93" t="s">
        <v>132</v>
      </c>
      <c r="B39" s="279">
        <v>19</v>
      </c>
      <c r="C39" s="280">
        <v>1.5</v>
      </c>
      <c r="D39" s="281">
        <f t="shared" si="0"/>
        <v>28.5</v>
      </c>
      <c r="E39" s="282"/>
      <c r="F39" s="285">
        <f t="shared" si="1"/>
        <v>0</v>
      </c>
      <c r="G39" s="286" t="s">
        <v>108</v>
      </c>
      <c r="H39" s="118"/>
      <c r="I39" s="99">
        <v>19</v>
      </c>
      <c r="J39" s="93"/>
      <c r="K39" s="119"/>
      <c r="L39" s="120"/>
      <c r="M39" s="121">
        <f t="shared" si="4"/>
        <v>0</v>
      </c>
      <c r="N39" s="104"/>
      <c r="O39" s="318"/>
      <c r="P39" s="105"/>
      <c r="Q39" s="106">
        <v>19</v>
      </c>
      <c r="R39" s="105">
        <v>1</v>
      </c>
      <c r="S39" s="105"/>
      <c r="T39" s="122"/>
      <c r="U39" s="123"/>
      <c r="V39" s="105">
        <f t="shared" si="2"/>
        <v>0</v>
      </c>
      <c r="W39" s="123"/>
      <c r="X39" s="123"/>
      <c r="Y39" s="124">
        <f t="shared" si="5"/>
        <v>0</v>
      </c>
      <c r="Z39" s="112"/>
      <c r="AA39" s="113"/>
      <c r="AB39" s="113"/>
      <c r="AC39" s="114"/>
      <c r="AD39" s="336"/>
      <c r="AE39" s="115"/>
      <c r="AF39" s="116"/>
      <c r="AG39" s="117">
        <f t="shared" si="3"/>
        <v>0</v>
      </c>
    </row>
    <row r="40" spans="1:33" x14ac:dyDescent="0.25">
      <c r="A40" s="93" t="s">
        <v>133</v>
      </c>
      <c r="B40" s="279">
        <v>10</v>
      </c>
      <c r="C40" s="280">
        <v>11</v>
      </c>
      <c r="D40" s="281">
        <f t="shared" si="0"/>
        <v>110</v>
      </c>
      <c r="E40" s="282"/>
      <c r="F40" s="285">
        <f t="shared" si="1"/>
        <v>0</v>
      </c>
      <c r="G40" s="286" t="s">
        <v>108</v>
      </c>
      <c r="H40" s="118"/>
      <c r="I40" s="99">
        <v>10</v>
      </c>
      <c r="J40" s="93"/>
      <c r="K40" s="119"/>
      <c r="L40" s="120"/>
      <c r="M40" s="121">
        <f t="shared" si="4"/>
        <v>0</v>
      </c>
      <c r="N40" s="104"/>
      <c r="O40" s="318"/>
      <c r="P40" s="105"/>
      <c r="Q40" s="106"/>
      <c r="R40" s="105"/>
      <c r="S40" s="105"/>
      <c r="T40" s="122"/>
      <c r="U40" s="123"/>
      <c r="V40" s="105">
        <f t="shared" si="2"/>
        <v>0</v>
      </c>
      <c r="W40" s="123"/>
      <c r="X40" s="123"/>
      <c r="Y40" s="124">
        <f t="shared" si="5"/>
        <v>0</v>
      </c>
      <c r="Z40" s="112"/>
      <c r="AA40" s="113"/>
      <c r="AB40" s="113"/>
      <c r="AC40" s="114"/>
      <c r="AD40" s="336"/>
      <c r="AE40" s="115"/>
      <c r="AF40" s="116"/>
      <c r="AG40" s="117">
        <f t="shared" si="3"/>
        <v>0</v>
      </c>
    </row>
    <row r="41" spans="1:33" x14ac:dyDescent="0.25">
      <c r="A41" s="93" t="s">
        <v>115</v>
      </c>
      <c r="B41" s="279">
        <v>22</v>
      </c>
      <c r="C41" s="280">
        <v>13</v>
      </c>
      <c r="D41" s="281">
        <f t="shared" si="0"/>
        <v>286</v>
      </c>
      <c r="E41" s="282"/>
      <c r="F41" s="285">
        <f t="shared" si="1"/>
        <v>0</v>
      </c>
      <c r="G41" s="286" t="s">
        <v>108</v>
      </c>
      <c r="H41" s="118"/>
      <c r="I41" s="99">
        <v>22</v>
      </c>
      <c r="J41" s="93"/>
      <c r="K41" s="119"/>
      <c r="L41" s="120"/>
      <c r="M41" s="121">
        <f t="shared" si="4"/>
        <v>0</v>
      </c>
      <c r="N41" s="104"/>
      <c r="O41" s="318"/>
      <c r="P41" s="105"/>
      <c r="Q41" s="106">
        <v>22</v>
      </c>
      <c r="R41" s="105">
        <v>4</v>
      </c>
      <c r="S41" s="105"/>
      <c r="T41" s="122"/>
      <c r="U41" s="123"/>
      <c r="V41" s="105">
        <f t="shared" si="2"/>
        <v>0</v>
      </c>
      <c r="W41" s="123"/>
      <c r="X41" s="123"/>
      <c r="Y41" s="124">
        <f t="shared" si="5"/>
        <v>0</v>
      </c>
      <c r="Z41" s="112"/>
      <c r="AA41" s="113"/>
      <c r="AB41" s="113"/>
      <c r="AC41" s="114"/>
      <c r="AD41" s="336">
        <v>1</v>
      </c>
      <c r="AE41" s="115">
        <v>5</v>
      </c>
      <c r="AF41" s="116">
        <v>4.5</v>
      </c>
      <c r="AG41" s="117">
        <f t="shared" si="3"/>
        <v>22.5</v>
      </c>
    </row>
    <row r="42" spans="1:33" x14ac:dyDescent="0.25">
      <c r="A42" s="93" t="s">
        <v>115</v>
      </c>
      <c r="B42" s="94">
        <v>20</v>
      </c>
      <c r="C42" s="95">
        <v>4</v>
      </c>
      <c r="D42" s="96">
        <f t="shared" si="0"/>
        <v>80</v>
      </c>
      <c r="E42" s="97">
        <v>4</v>
      </c>
      <c r="F42" s="211">
        <f t="shared" si="1"/>
        <v>16</v>
      </c>
      <c r="G42" s="213" t="s">
        <v>112</v>
      </c>
      <c r="H42" s="118"/>
      <c r="I42" s="99"/>
      <c r="J42" s="93"/>
      <c r="K42" s="119"/>
      <c r="L42" s="120"/>
      <c r="M42" s="121">
        <f t="shared" si="4"/>
        <v>0</v>
      </c>
      <c r="N42" s="104"/>
      <c r="O42" s="318"/>
      <c r="P42" s="105"/>
      <c r="Q42" s="106"/>
      <c r="R42" s="105"/>
      <c r="S42" s="105"/>
      <c r="T42" s="122"/>
      <c r="U42" s="123"/>
      <c r="V42" s="105">
        <f t="shared" si="2"/>
        <v>0</v>
      </c>
      <c r="W42" s="123"/>
      <c r="X42" s="123"/>
      <c r="Y42" s="124">
        <f t="shared" si="5"/>
        <v>0</v>
      </c>
      <c r="Z42" s="112"/>
      <c r="AA42" s="113"/>
      <c r="AB42" s="113"/>
      <c r="AC42" s="114"/>
      <c r="AD42" s="336"/>
      <c r="AE42" s="115"/>
      <c r="AF42" s="116"/>
      <c r="AG42" s="117">
        <f t="shared" si="3"/>
        <v>0</v>
      </c>
    </row>
    <row r="43" spans="1:33" x14ac:dyDescent="0.25">
      <c r="A43" s="93" t="s">
        <v>134</v>
      </c>
      <c r="B43" s="279">
        <v>43.5</v>
      </c>
      <c r="C43" s="280">
        <v>8</v>
      </c>
      <c r="D43" s="281">
        <f>B43*C43-H43</f>
        <v>238</v>
      </c>
      <c r="E43" s="282"/>
      <c r="F43" s="285">
        <f t="shared" si="1"/>
        <v>0</v>
      </c>
      <c r="G43" s="286" t="s">
        <v>108</v>
      </c>
      <c r="H43" s="118">
        <v>110</v>
      </c>
      <c r="I43" s="99">
        <v>43</v>
      </c>
      <c r="J43" s="93"/>
      <c r="K43" s="119"/>
      <c r="L43" s="120"/>
      <c r="M43" s="121">
        <f t="shared" si="4"/>
        <v>0</v>
      </c>
      <c r="N43" s="104">
        <v>16</v>
      </c>
      <c r="O43" s="318"/>
      <c r="P43" s="105">
        <v>16</v>
      </c>
      <c r="Q43" s="106">
        <v>32</v>
      </c>
      <c r="R43" s="105"/>
      <c r="S43" s="105"/>
      <c r="T43" s="122">
        <v>15</v>
      </c>
      <c r="U43" s="123">
        <v>1.75</v>
      </c>
      <c r="V43" s="105">
        <f t="shared" si="2"/>
        <v>26.25</v>
      </c>
      <c r="W43" s="123"/>
      <c r="X43" s="123"/>
      <c r="Y43" s="124">
        <f t="shared" si="5"/>
        <v>0</v>
      </c>
      <c r="Z43" s="112"/>
      <c r="AA43" s="113"/>
      <c r="AB43" s="113"/>
      <c r="AC43" s="114"/>
      <c r="AD43" s="336"/>
      <c r="AE43" s="115"/>
      <c r="AF43" s="116"/>
      <c r="AG43" s="117">
        <f t="shared" si="3"/>
        <v>0</v>
      </c>
    </row>
    <row r="44" spans="1:33" x14ac:dyDescent="0.25">
      <c r="A44" s="93" t="s">
        <v>115</v>
      </c>
      <c r="B44" s="279">
        <v>25</v>
      </c>
      <c r="C44" s="280">
        <v>10</v>
      </c>
      <c r="D44" s="281">
        <f t="shared" si="0"/>
        <v>250</v>
      </c>
      <c r="E44" s="282"/>
      <c r="F44" s="285">
        <f t="shared" si="1"/>
        <v>0</v>
      </c>
      <c r="G44" s="286" t="s">
        <v>108</v>
      </c>
      <c r="H44" s="118"/>
      <c r="I44" s="99">
        <v>25</v>
      </c>
      <c r="J44" s="93"/>
      <c r="K44" s="119"/>
      <c r="L44" s="120"/>
      <c r="M44" s="121">
        <f t="shared" si="4"/>
        <v>0</v>
      </c>
      <c r="N44" s="104"/>
      <c r="O44" s="318"/>
      <c r="P44" s="105"/>
      <c r="Q44" s="106">
        <v>25</v>
      </c>
      <c r="R44" s="105">
        <v>4</v>
      </c>
      <c r="S44" s="105"/>
      <c r="T44" s="122"/>
      <c r="U44" s="123"/>
      <c r="V44" s="105">
        <f t="shared" si="2"/>
        <v>0</v>
      </c>
      <c r="W44" s="123"/>
      <c r="X44" s="123"/>
      <c r="Y44" s="124">
        <f t="shared" si="5"/>
        <v>0</v>
      </c>
      <c r="Z44" s="112"/>
      <c r="AA44" s="113"/>
      <c r="AB44" s="113"/>
      <c r="AC44" s="114"/>
      <c r="AD44" s="336"/>
      <c r="AE44" s="115"/>
      <c r="AF44" s="116"/>
      <c r="AG44" s="117">
        <f t="shared" si="3"/>
        <v>0</v>
      </c>
    </row>
    <row r="45" spans="1:33" x14ac:dyDescent="0.25">
      <c r="A45" s="93" t="s">
        <v>115</v>
      </c>
      <c r="B45" s="94">
        <v>23</v>
      </c>
      <c r="C45" s="95">
        <v>4</v>
      </c>
      <c r="D45" s="96">
        <f t="shared" si="0"/>
        <v>92</v>
      </c>
      <c r="E45" s="97"/>
      <c r="F45" s="211">
        <f t="shared" si="1"/>
        <v>0</v>
      </c>
      <c r="G45" s="213" t="s">
        <v>112</v>
      </c>
      <c r="H45" s="118"/>
      <c r="I45" s="99"/>
      <c r="J45" s="93"/>
      <c r="K45" s="119"/>
      <c r="L45" s="120"/>
      <c r="M45" s="121">
        <f t="shared" si="4"/>
        <v>0</v>
      </c>
      <c r="N45" s="104"/>
      <c r="O45" s="318"/>
      <c r="P45" s="105"/>
      <c r="Q45" s="106"/>
      <c r="R45" s="105"/>
      <c r="S45" s="105"/>
      <c r="T45" s="122"/>
      <c r="U45" s="123"/>
      <c r="V45" s="105">
        <f t="shared" si="2"/>
        <v>0</v>
      </c>
      <c r="W45" s="123"/>
      <c r="X45" s="123"/>
      <c r="Y45" s="124">
        <f t="shared" si="5"/>
        <v>0</v>
      </c>
      <c r="Z45" s="112"/>
      <c r="AA45" s="113"/>
      <c r="AB45" s="113"/>
      <c r="AC45" s="114"/>
      <c r="AD45" s="336">
        <v>2</v>
      </c>
      <c r="AE45" s="115">
        <v>8</v>
      </c>
      <c r="AF45" s="116">
        <v>4.5</v>
      </c>
      <c r="AG45" s="117">
        <f t="shared" si="3"/>
        <v>36</v>
      </c>
    </row>
    <row r="46" spans="1:33" x14ac:dyDescent="0.25">
      <c r="A46" s="93" t="s">
        <v>135</v>
      </c>
      <c r="B46" s="279">
        <v>13.5</v>
      </c>
      <c r="C46" s="280">
        <v>3</v>
      </c>
      <c r="D46" s="281">
        <f t="shared" si="0"/>
        <v>40.5</v>
      </c>
      <c r="E46" s="282"/>
      <c r="F46" s="285">
        <f t="shared" si="1"/>
        <v>0</v>
      </c>
      <c r="G46" s="286" t="s">
        <v>108</v>
      </c>
      <c r="H46" s="118"/>
      <c r="I46" s="99">
        <v>13.5</v>
      </c>
      <c r="J46" s="93"/>
      <c r="K46" s="119"/>
      <c r="L46" s="120"/>
      <c r="M46" s="121">
        <f t="shared" si="4"/>
        <v>0</v>
      </c>
      <c r="N46" s="104"/>
      <c r="O46" s="318"/>
      <c r="P46" s="105"/>
      <c r="Q46" s="106">
        <v>13.5</v>
      </c>
      <c r="R46" s="105">
        <v>2</v>
      </c>
      <c r="S46" s="105"/>
      <c r="T46" s="122"/>
      <c r="U46" s="123"/>
      <c r="V46" s="105">
        <f t="shared" si="2"/>
        <v>0</v>
      </c>
      <c r="W46" s="123"/>
      <c r="X46" s="123"/>
      <c r="Y46" s="124">
        <f t="shared" si="5"/>
        <v>0</v>
      </c>
      <c r="Z46" s="112"/>
      <c r="AA46" s="113"/>
      <c r="AB46" s="113"/>
      <c r="AC46" s="114"/>
      <c r="AD46" s="336"/>
      <c r="AE46" s="115"/>
      <c r="AF46" s="116"/>
      <c r="AG46" s="117">
        <f t="shared" si="3"/>
        <v>0</v>
      </c>
    </row>
    <row r="47" spans="1:33" x14ac:dyDescent="0.25">
      <c r="A47" s="93" t="s">
        <v>135</v>
      </c>
      <c r="B47" s="94">
        <v>13</v>
      </c>
      <c r="C47" s="95">
        <v>9</v>
      </c>
      <c r="D47" s="96">
        <f t="shared" si="0"/>
        <v>117</v>
      </c>
      <c r="E47" s="97">
        <v>2</v>
      </c>
      <c r="F47" s="211">
        <f t="shared" si="1"/>
        <v>18</v>
      </c>
      <c r="G47" s="213" t="s">
        <v>112</v>
      </c>
      <c r="H47" s="118"/>
      <c r="I47" s="99"/>
      <c r="J47" s="93"/>
      <c r="K47" s="119"/>
      <c r="L47" s="120"/>
      <c r="M47" s="121">
        <f t="shared" si="4"/>
        <v>0</v>
      </c>
      <c r="N47" s="104"/>
      <c r="O47" s="318"/>
      <c r="P47" s="105"/>
      <c r="Q47" s="106"/>
      <c r="R47" s="105"/>
      <c r="S47" s="105"/>
      <c r="T47" s="122"/>
      <c r="U47" s="123"/>
      <c r="V47" s="105">
        <f t="shared" si="2"/>
        <v>0</v>
      </c>
      <c r="W47" s="123"/>
      <c r="X47" s="123"/>
      <c r="Y47" s="124">
        <f t="shared" si="5"/>
        <v>0</v>
      </c>
      <c r="Z47" s="112"/>
      <c r="AA47" s="113"/>
      <c r="AB47" s="113"/>
      <c r="AC47" s="114"/>
      <c r="AD47" s="336"/>
      <c r="AE47" s="115"/>
      <c r="AF47" s="116"/>
      <c r="AG47" s="117">
        <f t="shared" si="3"/>
        <v>0</v>
      </c>
    </row>
    <row r="48" spans="1:33" x14ac:dyDescent="0.25">
      <c r="A48" s="93" t="s">
        <v>137</v>
      </c>
      <c r="B48" s="94">
        <v>18</v>
      </c>
      <c r="C48" s="95">
        <v>2</v>
      </c>
      <c r="D48" s="96">
        <f t="shared" si="0"/>
        <v>36</v>
      </c>
      <c r="E48" s="97"/>
      <c r="F48" s="211">
        <f t="shared" si="1"/>
        <v>0</v>
      </c>
      <c r="G48" s="213" t="s">
        <v>112</v>
      </c>
      <c r="H48" s="118"/>
      <c r="I48" s="99"/>
      <c r="J48" s="93"/>
      <c r="K48" s="119"/>
      <c r="L48" s="120"/>
      <c r="M48" s="121">
        <f t="shared" si="4"/>
        <v>0</v>
      </c>
      <c r="N48" s="104"/>
      <c r="O48" s="318"/>
      <c r="P48" s="105"/>
      <c r="Q48" s="106"/>
      <c r="R48" s="105"/>
      <c r="S48" s="105"/>
      <c r="T48" s="122"/>
      <c r="U48" s="123"/>
      <c r="V48" s="105">
        <f t="shared" si="2"/>
        <v>0</v>
      </c>
      <c r="W48" s="123"/>
      <c r="X48" s="123"/>
      <c r="Y48" s="124">
        <f t="shared" si="5"/>
        <v>0</v>
      </c>
      <c r="Z48" s="112"/>
      <c r="AA48" s="113"/>
      <c r="AB48" s="113"/>
      <c r="AC48" s="114"/>
      <c r="AD48" s="336"/>
      <c r="AE48" s="115"/>
      <c r="AF48" s="116"/>
      <c r="AG48" s="117">
        <f t="shared" si="3"/>
        <v>0</v>
      </c>
    </row>
    <row r="49" spans="1:33" x14ac:dyDescent="0.25">
      <c r="A49" s="93" t="s">
        <v>136</v>
      </c>
      <c r="B49" s="279">
        <v>18</v>
      </c>
      <c r="C49" s="280">
        <v>3</v>
      </c>
      <c r="D49" s="281">
        <f t="shared" si="0"/>
        <v>54</v>
      </c>
      <c r="E49" s="282"/>
      <c r="F49" s="285">
        <f t="shared" si="1"/>
        <v>0</v>
      </c>
      <c r="G49" s="286" t="s">
        <v>108</v>
      </c>
      <c r="H49" s="118"/>
      <c r="I49" s="99">
        <v>18</v>
      </c>
      <c r="J49" s="93"/>
      <c r="K49" s="119"/>
      <c r="L49" s="120"/>
      <c r="M49" s="121">
        <f t="shared" si="4"/>
        <v>0</v>
      </c>
      <c r="N49" s="104"/>
      <c r="O49" s="318"/>
      <c r="P49" s="105"/>
      <c r="Q49" s="106">
        <v>18</v>
      </c>
      <c r="R49" s="105">
        <v>4</v>
      </c>
      <c r="S49" s="105"/>
      <c r="T49" s="122"/>
      <c r="U49" s="123"/>
      <c r="V49" s="105">
        <f t="shared" si="2"/>
        <v>0</v>
      </c>
      <c r="W49" s="123"/>
      <c r="X49" s="123"/>
      <c r="Y49" s="124">
        <f t="shared" si="5"/>
        <v>0</v>
      </c>
      <c r="Z49" s="112"/>
      <c r="AA49" s="113"/>
      <c r="AB49" s="113"/>
      <c r="AC49" s="114"/>
      <c r="AD49" s="336"/>
      <c r="AE49" s="115"/>
      <c r="AF49" s="116"/>
      <c r="AG49" s="117">
        <f t="shared" si="3"/>
        <v>0</v>
      </c>
    </row>
    <row r="50" spans="1:33" x14ac:dyDescent="0.25">
      <c r="A50" s="93" t="s">
        <v>136</v>
      </c>
      <c r="B50" s="94">
        <v>17</v>
      </c>
      <c r="C50" s="95">
        <v>9</v>
      </c>
      <c r="D50" s="96">
        <f t="shared" si="0"/>
        <v>153</v>
      </c>
      <c r="E50" s="97">
        <v>4</v>
      </c>
      <c r="F50" s="211">
        <f t="shared" si="1"/>
        <v>36</v>
      </c>
      <c r="G50" s="213" t="s">
        <v>112</v>
      </c>
      <c r="H50" s="118"/>
      <c r="I50" s="99"/>
      <c r="J50" s="93"/>
      <c r="K50" s="119"/>
      <c r="L50" s="120"/>
      <c r="M50" s="121">
        <f t="shared" si="4"/>
        <v>0</v>
      </c>
      <c r="N50" s="104"/>
      <c r="O50" s="318"/>
      <c r="P50" s="105"/>
      <c r="Q50" s="106"/>
      <c r="R50" s="105"/>
      <c r="S50" s="105"/>
      <c r="T50" s="122"/>
      <c r="U50" s="123"/>
      <c r="V50" s="105">
        <f t="shared" si="2"/>
        <v>0</v>
      </c>
      <c r="W50" s="123"/>
      <c r="X50" s="123"/>
      <c r="Y50" s="124">
        <f t="shared" si="5"/>
        <v>0</v>
      </c>
      <c r="Z50" s="112"/>
      <c r="AA50" s="113"/>
      <c r="AB50" s="113"/>
      <c r="AC50" s="114"/>
      <c r="AD50" s="336"/>
      <c r="AE50" s="115"/>
      <c r="AF50" s="116"/>
      <c r="AG50" s="117">
        <f t="shared" si="3"/>
        <v>0</v>
      </c>
    </row>
    <row r="51" spans="1:33" x14ac:dyDescent="0.25">
      <c r="A51" s="93" t="s">
        <v>138</v>
      </c>
      <c r="B51" s="94"/>
      <c r="C51" s="95"/>
      <c r="D51" s="96">
        <v>158</v>
      </c>
      <c r="E51" s="97"/>
      <c r="F51" s="211">
        <f t="shared" si="1"/>
        <v>0</v>
      </c>
      <c r="G51" s="213" t="s">
        <v>112</v>
      </c>
      <c r="H51" s="118"/>
      <c r="I51" s="99"/>
      <c r="J51" s="93"/>
      <c r="K51" s="119"/>
      <c r="L51" s="120"/>
      <c r="M51" s="121">
        <f t="shared" si="4"/>
        <v>0</v>
      </c>
      <c r="N51" s="104"/>
      <c r="O51" s="318"/>
      <c r="P51" s="105"/>
      <c r="Q51" s="106"/>
      <c r="R51" s="105"/>
      <c r="S51" s="105"/>
      <c r="T51" s="122"/>
      <c r="U51" s="123"/>
      <c r="V51" s="105">
        <f t="shared" si="2"/>
        <v>0</v>
      </c>
      <c r="W51" s="123"/>
      <c r="X51" s="123"/>
      <c r="Y51" s="124">
        <f t="shared" si="5"/>
        <v>0</v>
      </c>
      <c r="Z51" s="112"/>
      <c r="AA51" s="113"/>
      <c r="AB51" s="113">
        <v>2</v>
      </c>
      <c r="AC51" s="114"/>
      <c r="AD51" s="336"/>
      <c r="AE51" s="115"/>
      <c r="AF51" s="116"/>
      <c r="AG51" s="117">
        <f t="shared" si="3"/>
        <v>0</v>
      </c>
    </row>
    <row r="52" spans="1:33" x14ac:dyDescent="0.25">
      <c r="A52" s="93" t="s">
        <v>139</v>
      </c>
      <c r="B52" s="94"/>
      <c r="C52" s="95"/>
      <c r="D52" s="96">
        <v>100</v>
      </c>
      <c r="E52" s="97"/>
      <c r="F52" s="211">
        <f t="shared" si="1"/>
        <v>0</v>
      </c>
      <c r="G52" s="213" t="s">
        <v>112</v>
      </c>
      <c r="H52" s="118"/>
      <c r="I52" s="99"/>
      <c r="J52" s="93"/>
      <c r="K52" s="119"/>
      <c r="L52" s="120"/>
      <c r="M52" s="121">
        <f t="shared" si="4"/>
        <v>0</v>
      </c>
      <c r="N52" s="104"/>
      <c r="O52" s="318"/>
      <c r="P52" s="105"/>
      <c r="Q52" s="106"/>
      <c r="R52" s="105"/>
      <c r="S52" s="105"/>
      <c r="T52" s="122"/>
      <c r="U52" s="123"/>
      <c r="V52" s="105">
        <f t="shared" si="2"/>
        <v>0</v>
      </c>
      <c r="W52" s="123"/>
      <c r="X52" s="123"/>
      <c r="Y52" s="124">
        <f t="shared" si="5"/>
        <v>0</v>
      </c>
      <c r="Z52" s="112"/>
      <c r="AA52" s="113"/>
      <c r="AB52" s="113"/>
      <c r="AC52" s="114"/>
      <c r="AD52" s="336"/>
      <c r="AE52" s="115"/>
      <c r="AF52" s="116"/>
      <c r="AG52" s="117">
        <f t="shared" si="3"/>
        <v>0</v>
      </c>
    </row>
    <row r="53" spans="1:33" x14ac:dyDescent="0.25">
      <c r="A53" s="93" t="s">
        <v>136</v>
      </c>
      <c r="B53" s="279">
        <v>18</v>
      </c>
      <c r="C53" s="280">
        <v>3</v>
      </c>
      <c r="D53" s="281">
        <f t="shared" ref="D53:D57" si="16">B53*C53</f>
        <v>54</v>
      </c>
      <c r="E53" s="282"/>
      <c r="F53" s="285">
        <f t="shared" ref="F53:F57" si="17">C53*E53</f>
        <v>0</v>
      </c>
      <c r="G53" s="286" t="s">
        <v>108</v>
      </c>
      <c r="H53" s="118"/>
      <c r="I53" s="99">
        <v>18</v>
      </c>
      <c r="J53" s="93"/>
      <c r="K53" s="119"/>
      <c r="L53" s="120"/>
      <c r="M53" s="121">
        <f t="shared" ref="M53:M55" si="18">K53*L53</f>
        <v>0</v>
      </c>
      <c r="N53" s="104"/>
      <c r="O53" s="318"/>
      <c r="P53" s="105"/>
      <c r="Q53" s="106">
        <v>18</v>
      </c>
      <c r="R53" s="105">
        <v>4</v>
      </c>
      <c r="S53" s="105"/>
      <c r="T53" s="122"/>
      <c r="U53" s="123"/>
      <c r="V53" s="105">
        <f t="shared" si="2"/>
        <v>0</v>
      </c>
      <c r="W53" s="123"/>
      <c r="X53" s="123"/>
      <c r="Y53" s="124">
        <f t="shared" si="5"/>
        <v>0</v>
      </c>
      <c r="Z53" s="112"/>
      <c r="AA53" s="113"/>
      <c r="AB53" s="113"/>
      <c r="AC53" s="114"/>
      <c r="AD53" s="336"/>
      <c r="AE53" s="115"/>
      <c r="AF53" s="116"/>
      <c r="AG53" s="117">
        <f t="shared" si="3"/>
        <v>0</v>
      </c>
    </row>
    <row r="54" spans="1:33" x14ac:dyDescent="0.25">
      <c r="A54" s="93" t="s">
        <v>136</v>
      </c>
      <c r="B54" s="94">
        <v>17</v>
      </c>
      <c r="C54" s="95">
        <v>9</v>
      </c>
      <c r="D54" s="96">
        <f t="shared" si="16"/>
        <v>153</v>
      </c>
      <c r="E54" s="97">
        <v>4</v>
      </c>
      <c r="F54" s="211">
        <f t="shared" si="17"/>
        <v>36</v>
      </c>
      <c r="G54" s="213" t="s">
        <v>112</v>
      </c>
      <c r="H54" s="118"/>
      <c r="I54" s="99"/>
      <c r="J54" s="93"/>
      <c r="K54" s="119"/>
      <c r="L54" s="120"/>
      <c r="M54" s="121">
        <f t="shared" si="18"/>
        <v>0</v>
      </c>
      <c r="N54" s="104"/>
      <c r="O54" s="318"/>
      <c r="P54" s="105"/>
      <c r="Q54" s="106"/>
      <c r="R54" s="105"/>
      <c r="S54" s="105"/>
      <c r="T54" s="122"/>
      <c r="U54" s="123"/>
      <c r="V54" s="105">
        <f t="shared" si="2"/>
        <v>0</v>
      </c>
      <c r="W54" s="123"/>
      <c r="X54" s="123"/>
      <c r="Y54" s="124">
        <f t="shared" si="5"/>
        <v>0</v>
      </c>
      <c r="Z54" s="112"/>
      <c r="AA54" s="113"/>
      <c r="AB54" s="113"/>
      <c r="AC54" s="114"/>
      <c r="AD54" s="336"/>
      <c r="AE54" s="115"/>
      <c r="AF54" s="116"/>
      <c r="AG54" s="117">
        <f t="shared" si="3"/>
        <v>0</v>
      </c>
    </row>
    <row r="55" spans="1:33" x14ac:dyDescent="0.25">
      <c r="A55" s="93" t="s">
        <v>137</v>
      </c>
      <c r="B55" s="94">
        <v>18</v>
      </c>
      <c r="C55" s="95">
        <v>2</v>
      </c>
      <c r="D55" s="96">
        <f t="shared" si="16"/>
        <v>36</v>
      </c>
      <c r="E55" s="97"/>
      <c r="F55" s="211">
        <f t="shared" si="17"/>
        <v>0</v>
      </c>
      <c r="G55" s="213" t="s">
        <v>112</v>
      </c>
      <c r="H55" s="118"/>
      <c r="I55" s="99"/>
      <c r="J55" s="93"/>
      <c r="K55" s="119"/>
      <c r="L55" s="120"/>
      <c r="M55" s="121">
        <f t="shared" si="18"/>
        <v>0</v>
      </c>
      <c r="N55" s="104"/>
      <c r="O55" s="318"/>
      <c r="P55" s="105"/>
      <c r="Q55" s="106"/>
      <c r="R55" s="105"/>
      <c r="S55" s="105"/>
      <c r="T55" s="122"/>
      <c r="U55" s="123"/>
      <c r="V55" s="105"/>
      <c r="W55" s="123"/>
      <c r="X55" s="123"/>
      <c r="Y55" s="124"/>
      <c r="Z55" s="112"/>
      <c r="AA55" s="113"/>
      <c r="AB55" s="113"/>
      <c r="AC55" s="114"/>
      <c r="AD55" s="336"/>
      <c r="AE55" s="115"/>
      <c r="AF55" s="116"/>
      <c r="AG55" s="117"/>
    </row>
    <row r="56" spans="1:33" x14ac:dyDescent="0.25">
      <c r="A56" s="93" t="s">
        <v>135</v>
      </c>
      <c r="B56" s="279">
        <v>8</v>
      </c>
      <c r="C56" s="280">
        <v>3</v>
      </c>
      <c r="D56" s="281">
        <f t="shared" si="16"/>
        <v>24</v>
      </c>
      <c r="E56" s="282"/>
      <c r="F56" s="285">
        <f t="shared" si="17"/>
        <v>0</v>
      </c>
      <c r="G56" s="286" t="s">
        <v>108</v>
      </c>
      <c r="H56" s="118"/>
      <c r="I56" s="99"/>
      <c r="J56" s="93"/>
      <c r="K56" s="119"/>
      <c r="L56" s="120"/>
      <c r="M56" s="121">
        <f t="shared" si="4"/>
        <v>0</v>
      </c>
      <c r="N56" s="104"/>
      <c r="O56" s="318"/>
      <c r="P56" s="105"/>
      <c r="Q56" s="106">
        <v>8</v>
      </c>
      <c r="R56" s="105">
        <v>2</v>
      </c>
      <c r="S56" s="105"/>
      <c r="T56" s="122"/>
      <c r="U56" s="123"/>
      <c r="V56" s="105">
        <f t="shared" si="2"/>
        <v>0</v>
      </c>
      <c r="W56" s="123"/>
      <c r="X56" s="123"/>
      <c r="Y56" s="124">
        <f t="shared" si="5"/>
        <v>0</v>
      </c>
      <c r="Z56" s="112"/>
      <c r="AA56" s="113"/>
      <c r="AB56" s="113"/>
      <c r="AC56" s="114"/>
      <c r="AD56" s="336"/>
      <c r="AE56" s="115"/>
      <c r="AF56" s="116"/>
      <c r="AG56" s="117">
        <f t="shared" si="3"/>
        <v>0</v>
      </c>
    </row>
    <row r="57" spans="1:33" x14ac:dyDescent="0.25">
      <c r="A57" s="93" t="s">
        <v>135</v>
      </c>
      <c r="B57" s="94">
        <v>7</v>
      </c>
      <c r="C57" s="95">
        <v>9</v>
      </c>
      <c r="D57" s="96">
        <f t="shared" si="16"/>
        <v>63</v>
      </c>
      <c r="E57" s="97">
        <v>2</v>
      </c>
      <c r="F57" s="211">
        <f t="shared" si="17"/>
        <v>18</v>
      </c>
      <c r="G57" s="213" t="s">
        <v>112</v>
      </c>
      <c r="H57" s="118"/>
      <c r="I57" s="99"/>
      <c r="J57" s="93"/>
      <c r="K57" s="119"/>
      <c r="L57" s="120"/>
      <c r="M57" s="121">
        <f t="shared" si="4"/>
        <v>0</v>
      </c>
      <c r="N57" s="104"/>
      <c r="O57" s="318"/>
      <c r="P57" s="105"/>
      <c r="Q57" s="106"/>
      <c r="R57" s="105"/>
      <c r="S57" s="105"/>
      <c r="T57" s="122"/>
      <c r="U57" s="123"/>
      <c r="V57" s="105">
        <f t="shared" si="2"/>
        <v>0</v>
      </c>
      <c r="W57" s="123"/>
      <c r="X57" s="123"/>
      <c r="Y57" s="124">
        <f t="shared" si="5"/>
        <v>0</v>
      </c>
      <c r="Z57" s="112"/>
      <c r="AA57" s="113"/>
      <c r="AB57" s="113"/>
      <c r="AC57" s="114"/>
      <c r="AD57" s="336"/>
      <c r="AE57" s="115"/>
      <c r="AF57" s="116"/>
      <c r="AG57" s="117">
        <f t="shared" si="3"/>
        <v>0</v>
      </c>
    </row>
    <row r="58" spans="1:33" x14ac:dyDescent="0.25">
      <c r="A58" s="93" t="s">
        <v>140</v>
      </c>
      <c r="B58" s="279">
        <v>18</v>
      </c>
      <c r="C58" s="280">
        <v>16</v>
      </c>
      <c r="D58" s="281">
        <f>B58*C58-H58</f>
        <v>178</v>
      </c>
      <c r="E58" s="282"/>
      <c r="F58" s="285">
        <f t="shared" si="1"/>
        <v>0</v>
      </c>
      <c r="G58" s="286" t="s">
        <v>108</v>
      </c>
      <c r="H58" s="118">
        <v>110</v>
      </c>
      <c r="I58" s="99">
        <v>5</v>
      </c>
      <c r="J58" s="93">
        <v>13</v>
      </c>
      <c r="K58" s="119"/>
      <c r="L58" s="120"/>
      <c r="M58" s="121">
        <f t="shared" si="4"/>
        <v>0</v>
      </c>
      <c r="N58" s="104">
        <v>13</v>
      </c>
      <c r="O58" s="318"/>
      <c r="P58" s="105"/>
      <c r="Q58" s="106"/>
      <c r="R58" s="105"/>
      <c r="S58" s="105">
        <v>12</v>
      </c>
      <c r="T58" s="122"/>
      <c r="U58" s="123"/>
      <c r="V58" s="105">
        <f t="shared" si="2"/>
        <v>0</v>
      </c>
      <c r="W58" s="123"/>
      <c r="X58" s="123"/>
      <c r="Y58" s="124">
        <f t="shared" si="5"/>
        <v>0</v>
      </c>
      <c r="Z58" s="112"/>
      <c r="AA58" s="113"/>
      <c r="AB58" s="113"/>
      <c r="AC58" s="114"/>
      <c r="AD58" s="336"/>
      <c r="AE58" s="115"/>
      <c r="AF58" s="116"/>
      <c r="AG58" s="117">
        <f t="shared" si="3"/>
        <v>0</v>
      </c>
    </row>
    <row r="59" spans="1:33" x14ac:dyDescent="0.25">
      <c r="A59" s="93" t="s">
        <v>141</v>
      </c>
      <c r="B59" s="279">
        <v>34</v>
      </c>
      <c r="C59" s="280">
        <v>4</v>
      </c>
      <c r="D59" s="281">
        <f t="shared" si="0"/>
        <v>136</v>
      </c>
      <c r="E59" s="282"/>
      <c r="F59" s="285">
        <f t="shared" si="1"/>
        <v>0</v>
      </c>
      <c r="G59" s="286" t="s">
        <v>108</v>
      </c>
      <c r="H59" s="118"/>
      <c r="I59" s="99">
        <v>34</v>
      </c>
      <c r="J59" s="93"/>
      <c r="K59" s="119"/>
      <c r="L59" s="120"/>
      <c r="M59" s="121">
        <f t="shared" si="4"/>
        <v>0</v>
      </c>
      <c r="N59" s="104"/>
      <c r="O59" s="318"/>
      <c r="P59" s="105"/>
      <c r="Q59" s="106">
        <v>34</v>
      </c>
      <c r="R59" s="105">
        <v>2</v>
      </c>
      <c r="S59" s="105">
        <v>4</v>
      </c>
      <c r="T59" s="122"/>
      <c r="U59" s="123"/>
      <c r="V59" s="105">
        <f t="shared" si="2"/>
        <v>0</v>
      </c>
      <c r="W59" s="123"/>
      <c r="X59" s="123"/>
      <c r="Y59" s="124">
        <f t="shared" si="5"/>
        <v>0</v>
      </c>
      <c r="Z59" s="112"/>
      <c r="AA59" s="113"/>
      <c r="AB59" s="113"/>
      <c r="AC59" s="114"/>
      <c r="AD59" s="336"/>
      <c r="AE59" s="115"/>
      <c r="AF59" s="116"/>
      <c r="AG59" s="117">
        <f t="shared" si="3"/>
        <v>0</v>
      </c>
    </row>
    <row r="60" spans="1:33" ht="15.75" thickBot="1" x14ac:dyDescent="0.3">
      <c r="A60" s="93" t="s">
        <v>142</v>
      </c>
      <c r="B60" s="279">
        <v>16</v>
      </c>
      <c r="C60" s="280">
        <v>20</v>
      </c>
      <c r="D60" s="281">
        <f>B60*C60-H60</f>
        <v>300</v>
      </c>
      <c r="E60" s="282"/>
      <c r="F60" s="287">
        <f t="shared" ref="F60:F64" si="19">C60*E60</f>
        <v>0</v>
      </c>
      <c r="G60" s="288" t="s">
        <v>108</v>
      </c>
      <c r="H60" s="125">
        <v>20</v>
      </c>
      <c r="I60" s="126">
        <v>16</v>
      </c>
      <c r="J60" s="127">
        <v>13</v>
      </c>
      <c r="K60" s="128"/>
      <c r="L60" s="129"/>
      <c r="M60" s="130">
        <f t="shared" ref="M60:M64" si="20">K60*L60</f>
        <v>0</v>
      </c>
      <c r="N60" s="104">
        <v>5</v>
      </c>
      <c r="O60" s="318"/>
      <c r="P60" s="105"/>
      <c r="Q60" s="105">
        <v>5</v>
      </c>
      <c r="R60" s="105"/>
      <c r="S60" s="105"/>
      <c r="T60" s="131"/>
      <c r="U60" s="132"/>
      <c r="V60" s="133">
        <f t="shared" ref="V60:V64" si="21">T60*U60</f>
        <v>0</v>
      </c>
      <c r="W60" s="134"/>
      <c r="X60" s="134"/>
      <c r="Y60" s="135">
        <f t="shared" ref="Y60:Y64" si="22">W60*X60</f>
        <v>0</v>
      </c>
      <c r="Z60" s="136"/>
      <c r="AA60" s="137"/>
      <c r="AB60" s="137">
        <v>1</v>
      </c>
      <c r="AC60" s="138"/>
      <c r="AD60" s="337"/>
      <c r="AE60" s="115"/>
      <c r="AF60" s="116"/>
      <c r="AG60" s="117">
        <f t="shared" ref="AG60:AG64" si="23">AE60*AF60</f>
        <v>0</v>
      </c>
    </row>
    <row r="61" spans="1:33" ht="15.75" thickBot="1" x14ac:dyDescent="0.3">
      <c r="A61" s="273" t="s">
        <v>143</v>
      </c>
      <c r="B61" s="274">
        <v>12.75</v>
      </c>
      <c r="C61" s="275"/>
      <c r="D61" s="276">
        <f t="shared" ref="D61:D64" si="24">B61*C61</f>
        <v>0</v>
      </c>
      <c r="E61" s="197">
        <v>2</v>
      </c>
      <c r="F61" s="277">
        <f t="shared" si="19"/>
        <v>0</v>
      </c>
      <c r="G61" s="278" t="s">
        <v>112</v>
      </c>
      <c r="H61" s="125">
        <f t="shared" ref="H61:H64" si="25">SUM(F61)</f>
        <v>0</v>
      </c>
      <c r="I61" s="126"/>
      <c r="J61" s="127"/>
      <c r="K61" s="128"/>
      <c r="L61" s="129"/>
      <c r="M61" s="130">
        <f t="shared" si="20"/>
        <v>0</v>
      </c>
      <c r="N61" s="104"/>
      <c r="O61" s="318"/>
      <c r="P61" s="105"/>
      <c r="Q61" s="105"/>
      <c r="R61" s="105"/>
      <c r="S61" s="105"/>
      <c r="T61" s="131"/>
      <c r="U61" s="132"/>
      <c r="V61" s="133">
        <f t="shared" si="21"/>
        <v>0</v>
      </c>
      <c r="W61" s="134"/>
      <c r="X61" s="134"/>
      <c r="Y61" s="135">
        <f t="shared" si="22"/>
        <v>0</v>
      </c>
      <c r="Z61" s="136"/>
      <c r="AA61" s="137"/>
      <c r="AB61" s="137"/>
      <c r="AC61" s="138"/>
      <c r="AD61" s="337"/>
      <c r="AE61" s="115"/>
      <c r="AF61" s="116"/>
      <c r="AG61" s="117">
        <f t="shared" si="23"/>
        <v>0</v>
      </c>
    </row>
    <row r="62" spans="1:33" ht="15.75" thickBot="1" x14ac:dyDescent="0.3">
      <c r="A62" s="273" t="s">
        <v>144</v>
      </c>
      <c r="B62" s="274">
        <v>12.75</v>
      </c>
      <c r="C62" s="275"/>
      <c r="D62" s="276">
        <f t="shared" si="24"/>
        <v>0</v>
      </c>
      <c r="E62" s="197">
        <v>2</v>
      </c>
      <c r="F62" s="277">
        <f t="shared" si="19"/>
        <v>0</v>
      </c>
      <c r="G62" s="278" t="s">
        <v>112</v>
      </c>
      <c r="H62" s="125">
        <f t="shared" si="25"/>
        <v>0</v>
      </c>
      <c r="I62" s="126"/>
      <c r="J62" s="127"/>
      <c r="K62" s="128"/>
      <c r="L62" s="129"/>
      <c r="M62" s="130">
        <f t="shared" si="20"/>
        <v>0</v>
      </c>
      <c r="N62" s="104"/>
      <c r="O62" s="318"/>
      <c r="P62" s="105"/>
      <c r="Q62" s="105"/>
      <c r="R62" s="105"/>
      <c r="S62" s="105"/>
      <c r="T62" s="131"/>
      <c r="U62" s="132"/>
      <c r="V62" s="133">
        <f t="shared" si="21"/>
        <v>0</v>
      </c>
      <c r="W62" s="134"/>
      <c r="X62" s="134"/>
      <c r="Y62" s="135">
        <f t="shared" si="22"/>
        <v>0</v>
      </c>
      <c r="Z62" s="136"/>
      <c r="AA62" s="137"/>
      <c r="AB62" s="137"/>
      <c r="AC62" s="138"/>
      <c r="AD62" s="337"/>
      <c r="AE62" s="115"/>
      <c r="AF62" s="116"/>
      <c r="AG62" s="117">
        <f t="shared" si="23"/>
        <v>0</v>
      </c>
    </row>
    <row r="63" spans="1:33" ht="15.75" thickBot="1" x14ac:dyDescent="0.3">
      <c r="A63" s="93"/>
      <c r="B63" s="94"/>
      <c r="C63" s="95"/>
      <c r="D63" s="96">
        <f t="shared" si="24"/>
        <v>0</v>
      </c>
      <c r="E63" s="97"/>
      <c r="F63" s="212">
        <f t="shared" si="19"/>
        <v>0</v>
      </c>
      <c r="G63" s="214"/>
      <c r="H63" s="125">
        <f t="shared" si="25"/>
        <v>0</v>
      </c>
      <c r="I63" s="126"/>
      <c r="J63" s="127"/>
      <c r="K63" s="128"/>
      <c r="L63" s="129"/>
      <c r="M63" s="130">
        <f t="shared" si="20"/>
        <v>0</v>
      </c>
      <c r="N63" s="104"/>
      <c r="O63" s="318"/>
      <c r="P63" s="105"/>
      <c r="Q63" s="105"/>
      <c r="R63" s="105"/>
      <c r="S63" s="105"/>
      <c r="T63" s="131"/>
      <c r="U63" s="132"/>
      <c r="V63" s="133">
        <f t="shared" si="21"/>
        <v>0</v>
      </c>
      <c r="W63" s="134"/>
      <c r="X63" s="134"/>
      <c r="Y63" s="135">
        <f t="shared" si="22"/>
        <v>0</v>
      </c>
      <c r="Z63" s="136"/>
      <c r="AA63" s="137"/>
      <c r="AB63" s="137"/>
      <c r="AC63" s="138"/>
      <c r="AD63" s="337"/>
      <c r="AE63" s="115"/>
      <c r="AF63" s="116"/>
      <c r="AG63" s="117">
        <f t="shared" si="23"/>
        <v>0</v>
      </c>
    </row>
    <row r="64" spans="1:33" ht="15.75" thickBot="1" x14ac:dyDescent="0.3">
      <c r="A64" s="93"/>
      <c r="B64" s="94"/>
      <c r="C64" s="95"/>
      <c r="D64" s="96">
        <f t="shared" si="24"/>
        <v>0</v>
      </c>
      <c r="E64" s="97"/>
      <c r="F64" s="212">
        <f t="shared" si="19"/>
        <v>0</v>
      </c>
      <c r="G64" s="214"/>
      <c r="H64" s="125">
        <f t="shared" si="25"/>
        <v>0</v>
      </c>
      <c r="I64" s="126"/>
      <c r="J64" s="127"/>
      <c r="K64" s="128"/>
      <c r="L64" s="129"/>
      <c r="M64" s="130">
        <f t="shared" si="20"/>
        <v>0</v>
      </c>
      <c r="N64" s="104"/>
      <c r="O64" s="318"/>
      <c r="P64" s="105"/>
      <c r="Q64" s="105"/>
      <c r="R64" s="105"/>
      <c r="S64" s="105"/>
      <c r="T64" s="131"/>
      <c r="U64" s="132"/>
      <c r="V64" s="133">
        <f t="shared" si="21"/>
        <v>0</v>
      </c>
      <c r="W64" s="134"/>
      <c r="X64" s="134"/>
      <c r="Y64" s="135">
        <f t="shared" si="22"/>
        <v>0</v>
      </c>
      <c r="Z64" s="136"/>
      <c r="AA64" s="137"/>
      <c r="AB64" s="137"/>
      <c r="AC64" s="138"/>
      <c r="AD64" s="337"/>
      <c r="AE64" s="115"/>
      <c r="AF64" s="116"/>
      <c r="AG64" s="117">
        <f t="shared" si="23"/>
        <v>0</v>
      </c>
    </row>
    <row r="65" spans="1:33" ht="15.75" thickBot="1" x14ac:dyDescent="0.3">
      <c r="A65" s="93"/>
      <c r="B65" s="94"/>
      <c r="C65" s="95"/>
      <c r="D65" s="96">
        <f t="shared" si="0"/>
        <v>0</v>
      </c>
      <c r="E65" s="97"/>
      <c r="F65" s="212">
        <f t="shared" si="1"/>
        <v>0</v>
      </c>
      <c r="G65" s="214"/>
      <c r="H65" s="125">
        <f>SUM(F65)</f>
        <v>0</v>
      </c>
      <c r="I65" s="126"/>
      <c r="J65" s="127"/>
      <c r="K65" s="128"/>
      <c r="L65" s="129"/>
      <c r="M65" s="130">
        <f t="shared" si="4"/>
        <v>0</v>
      </c>
      <c r="N65" s="104"/>
      <c r="O65" s="318"/>
      <c r="P65" s="105"/>
      <c r="Q65" s="105"/>
      <c r="R65" s="105"/>
      <c r="S65" s="105"/>
      <c r="T65" s="131"/>
      <c r="U65" s="132"/>
      <c r="V65" s="133">
        <f t="shared" si="2"/>
        <v>0</v>
      </c>
      <c r="W65" s="134"/>
      <c r="X65" s="134"/>
      <c r="Y65" s="135">
        <f t="shared" si="5"/>
        <v>0</v>
      </c>
      <c r="Z65" s="136"/>
      <c r="AA65" s="137"/>
      <c r="AB65" s="137"/>
      <c r="AC65" s="138"/>
      <c r="AD65" s="337"/>
      <c r="AE65" s="115"/>
      <c r="AF65" s="116"/>
      <c r="AG65" s="117">
        <f t="shared" si="3"/>
        <v>0</v>
      </c>
    </row>
    <row r="66" spans="1:33" ht="15.75" thickBot="1" x14ac:dyDescent="0.3">
      <c r="A66" s="139" t="s">
        <v>78</v>
      </c>
      <c r="B66" s="140"/>
      <c r="C66" s="141"/>
      <c r="D66" s="142">
        <f>SUM(D10:D65)</f>
        <v>6761.25</v>
      </c>
      <c r="E66" s="143"/>
      <c r="F66" s="143">
        <f>SUM(F10:F65)</f>
        <v>261</v>
      </c>
      <c r="G66" s="209"/>
      <c r="H66" s="144"/>
      <c r="I66" s="145">
        <f>SUM(I10:I65)</f>
        <v>706</v>
      </c>
      <c r="J66" s="146">
        <f>SUM(J10:J65)</f>
        <v>99</v>
      </c>
      <c r="K66" s="359" t="s">
        <v>79</v>
      </c>
      <c r="L66" s="360"/>
      <c r="M66" s="147">
        <f t="shared" ref="M66:S66" si="26">SUM(M10:M65)</f>
        <v>152</v>
      </c>
      <c r="N66" s="148">
        <f t="shared" si="26"/>
        <v>57</v>
      </c>
      <c r="O66" s="148">
        <f>SUM(O10:O65)</f>
        <v>57</v>
      </c>
      <c r="P66" s="149">
        <f t="shared" si="26"/>
        <v>36</v>
      </c>
      <c r="Q66" s="149">
        <f t="shared" si="26"/>
        <v>538.5</v>
      </c>
      <c r="R66" s="150">
        <f t="shared" si="26"/>
        <v>52</v>
      </c>
      <c r="S66" s="150">
        <f t="shared" si="26"/>
        <v>34</v>
      </c>
      <c r="T66" s="151"/>
      <c r="U66" s="149"/>
      <c r="V66" s="150">
        <f>SUM(V10:V65)</f>
        <v>148.75</v>
      </c>
      <c r="W66" s="151"/>
      <c r="X66" s="152"/>
      <c r="Y66" s="153">
        <f t="shared" ref="Y66:AD66" si="27">SUM(Y10:Y65)</f>
        <v>0</v>
      </c>
      <c r="Z66" s="154">
        <f t="shared" si="27"/>
        <v>0</v>
      </c>
      <c r="AA66" s="155">
        <f t="shared" si="27"/>
        <v>0</v>
      </c>
      <c r="AB66" s="155">
        <f t="shared" si="27"/>
        <v>12</v>
      </c>
      <c r="AC66" s="156">
        <f t="shared" si="27"/>
        <v>1</v>
      </c>
      <c r="AD66" s="338">
        <f t="shared" si="27"/>
        <v>5</v>
      </c>
      <c r="AE66" s="361" t="s">
        <v>80</v>
      </c>
      <c r="AF66" s="362"/>
      <c r="AG66" s="157">
        <f>SUM(AG10:AG65)</f>
        <v>108.5</v>
      </c>
    </row>
    <row r="67" spans="1:33" ht="16.5" thickBot="1" x14ac:dyDescent="0.3">
      <c r="A67" s="158" t="s">
        <v>81</v>
      </c>
      <c r="B67" s="158">
        <f>(B69+B71)/40</f>
        <v>103.59375</v>
      </c>
      <c r="C67" s="159" t="s">
        <v>82</v>
      </c>
      <c r="D67" s="160">
        <f>D66-H66</f>
        <v>6761.25</v>
      </c>
      <c r="E67" s="161"/>
      <c r="F67" s="161">
        <f>F66*1.15</f>
        <v>300.14999999999998</v>
      </c>
      <c r="G67" s="161"/>
      <c r="H67" s="162"/>
      <c r="I67" s="163"/>
      <c r="J67" s="164"/>
      <c r="K67" s="363" t="s">
        <v>83</v>
      </c>
      <c r="L67" s="364"/>
      <c r="M67" s="165">
        <f>M66*1.125</f>
        <v>171</v>
      </c>
      <c r="N67" s="166">
        <f>N66*1.1</f>
        <v>62.7</v>
      </c>
      <c r="O67" s="166"/>
      <c r="P67" s="167">
        <f t="shared" ref="P67:V67" si="28">P66*1.1</f>
        <v>39.6</v>
      </c>
      <c r="Q67" s="167">
        <f t="shared" si="28"/>
        <v>592.35</v>
      </c>
      <c r="R67" s="167">
        <f t="shared" si="28"/>
        <v>57.2</v>
      </c>
      <c r="S67" s="168">
        <f t="shared" si="28"/>
        <v>37.400000000000006</v>
      </c>
      <c r="T67" s="365"/>
      <c r="U67" s="366"/>
      <c r="V67" s="169">
        <f t="shared" si="28"/>
        <v>163.625</v>
      </c>
      <c r="W67" s="365"/>
      <c r="X67" s="366"/>
      <c r="Y67" s="169">
        <f>Y66*1.15</f>
        <v>0</v>
      </c>
      <c r="Z67" s="170">
        <f>Z66</f>
        <v>0</v>
      </c>
      <c r="AA67" s="170">
        <f t="shared" ref="AA67:AD67" si="29">AA66</f>
        <v>0</v>
      </c>
      <c r="AB67" s="170">
        <f t="shared" si="29"/>
        <v>12</v>
      </c>
      <c r="AC67" s="170">
        <f t="shared" si="29"/>
        <v>1</v>
      </c>
      <c r="AD67" s="170">
        <f t="shared" si="29"/>
        <v>5</v>
      </c>
      <c r="AE67" s="171" t="s">
        <v>84</v>
      </c>
      <c r="AF67" s="172"/>
      <c r="AG67" s="173">
        <v>0</v>
      </c>
    </row>
    <row r="68" spans="1:33" ht="15.75" thickBot="1" x14ac:dyDescent="0.3">
      <c r="A68" s="174" t="s">
        <v>85</v>
      </c>
      <c r="B68" s="175">
        <f>B67/15</f>
        <v>6.90625</v>
      </c>
      <c r="C68" s="349" t="s">
        <v>86</v>
      </c>
      <c r="D68" s="350"/>
      <c r="E68" s="176"/>
      <c r="F68" s="177"/>
      <c r="G68" s="177"/>
      <c r="H68" s="177"/>
      <c r="I68" s="177"/>
      <c r="J68" s="178"/>
      <c r="K68" s="351" t="s">
        <v>87</v>
      </c>
      <c r="L68" s="352"/>
      <c r="M68" s="179"/>
      <c r="N68" s="353" t="s">
        <v>88</v>
      </c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5"/>
      <c r="Z68" s="356" t="s">
        <v>89</v>
      </c>
      <c r="AA68" s="357"/>
      <c r="AB68" s="357"/>
      <c r="AC68" s="357"/>
      <c r="AD68" s="358"/>
      <c r="AE68" s="180" t="s">
        <v>90</v>
      </c>
      <c r="AF68" s="181"/>
      <c r="AG68" s="157">
        <v>0</v>
      </c>
    </row>
    <row r="69" spans="1:33" x14ac:dyDescent="0.25">
      <c r="A69" s="329" t="s">
        <v>193</v>
      </c>
      <c r="B69" s="330">
        <f>D67-B71-B72-B70</f>
        <v>3457.75</v>
      </c>
      <c r="C69" s="183">
        <v>25</v>
      </c>
      <c r="D69" s="184">
        <f>B69*C69</f>
        <v>86443.75</v>
      </c>
    </row>
    <row r="70" spans="1:33" x14ac:dyDescent="0.25">
      <c r="A70" s="329" t="s">
        <v>192</v>
      </c>
      <c r="B70" s="330">
        <f>D11+D12+D13+D22+D24+D26+D47+D48+D50+D51+D52+D54+D55+D57</f>
        <v>2284.5</v>
      </c>
      <c r="C70" s="183">
        <v>23</v>
      </c>
      <c r="D70" s="184">
        <f>B70*C70</f>
        <v>52543.5</v>
      </c>
    </row>
    <row r="71" spans="1:33" x14ac:dyDescent="0.25">
      <c r="A71" s="185" t="s">
        <v>190</v>
      </c>
      <c r="B71" s="182">
        <f>D15+D17+D41+D44</f>
        <v>686</v>
      </c>
      <c r="C71" s="183">
        <v>35</v>
      </c>
      <c r="D71" s="184">
        <f t="shared" ref="D71:D74" si="30">B71*C71</f>
        <v>24010</v>
      </c>
    </row>
    <row r="72" spans="1:33" x14ac:dyDescent="0.25">
      <c r="A72" s="185" t="s">
        <v>191</v>
      </c>
      <c r="B72" s="182">
        <f>D45+D42+D18+D16</f>
        <v>333</v>
      </c>
      <c r="C72" s="183">
        <v>32</v>
      </c>
      <c r="D72" s="184">
        <f t="shared" si="30"/>
        <v>10656</v>
      </c>
    </row>
    <row r="73" spans="1:33" x14ac:dyDescent="0.25">
      <c r="A73" s="186" t="s">
        <v>91</v>
      </c>
      <c r="B73" s="187">
        <f>SUM(N66:Y66)</f>
        <v>923.25</v>
      </c>
      <c r="C73" s="183">
        <v>25</v>
      </c>
      <c r="D73" s="184">
        <f t="shared" si="30"/>
        <v>23081.25</v>
      </c>
    </row>
    <row r="74" spans="1:33" ht="15.75" thickBot="1" x14ac:dyDescent="0.3">
      <c r="A74" s="188" t="s">
        <v>92</v>
      </c>
      <c r="B74" s="189">
        <f>I66+J66</f>
        <v>805</v>
      </c>
      <c r="C74" s="190">
        <v>25</v>
      </c>
      <c r="D74" s="191">
        <f t="shared" si="30"/>
        <v>20125</v>
      </c>
      <c r="F74" t="s">
        <v>189</v>
      </c>
    </row>
    <row r="75" spans="1:33" ht="15.75" thickTop="1" x14ac:dyDescent="0.25">
      <c r="A75" s="192" t="s">
        <v>93</v>
      </c>
      <c r="B75" s="193">
        <f>B70+B72</f>
        <v>2617.5</v>
      </c>
      <c r="C75" s="194" t="s">
        <v>94</v>
      </c>
      <c r="D75" s="195">
        <f>SUM(D69:D74)</f>
        <v>216859.5</v>
      </c>
    </row>
    <row r="76" spans="1:33" ht="15.75" thickBot="1" x14ac:dyDescent="0.3">
      <c r="A76" s="196" t="s">
        <v>95</v>
      </c>
      <c r="B76" s="197">
        <f>F66/3</f>
        <v>87</v>
      </c>
      <c r="C76" s="198" t="s">
        <v>96</v>
      </c>
      <c r="D76" s="199">
        <f>D75*1.1</f>
        <v>238545.45</v>
      </c>
      <c r="F76" s="230" t="s">
        <v>221</v>
      </c>
      <c r="G76" s="230" t="s">
        <v>222</v>
      </c>
      <c r="H76" s="230" t="s">
        <v>223</v>
      </c>
      <c r="I76" s="230" t="s">
        <v>224</v>
      </c>
    </row>
    <row r="77" spans="1:33" x14ac:dyDescent="0.25">
      <c r="A77" s="196" t="s">
        <v>97</v>
      </c>
      <c r="B77" s="200">
        <f>B75-B76</f>
        <v>2530.5</v>
      </c>
      <c r="F77" s="230" t="s">
        <v>220</v>
      </c>
      <c r="G77" s="254">
        <v>16</v>
      </c>
      <c r="H77" s="254">
        <f>16*0.25</f>
        <v>4</v>
      </c>
      <c r="I77" s="254">
        <f>SUM(G77:H77)</f>
        <v>20</v>
      </c>
    </row>
    <row r="78" spans="1:33" ht="15.75" thickBot="1" x14ac:dyDescent="0.3">
      <c r="A78" s="201" t="s">
        <v>194</v>
      </c>
      <c r="B78" s="202">
        <f>B77*1.1</f>
        <v>2783.55</v>
      </c>
      <c r="F78" s="230" t="s">
        <v>218</v>
      </c>
      <c r="G78" s="254">
        <v>19.25</v>
      </c>
      <c r="H78" s="254">
        <f>16*0.67</f>
        <v>10.72</v>
      </c>
      <c r="I78" s="254">
        <f>SUM(G78:H78)</f>
        <v>29.97</v>
      </c>
    </row>
    <row r="79" spans="1:33" x14ac:dyDescent="0.25">
      <c r="A79" s="203" t="s">
        <v>98</v>
      </c>
      <c r="B79" s="204">
        <f>M67</f>
        <v>171</v>
      </c>
      <c r="F79" s="230" t="s">
        <v>217</v>
      </c>
      <c r="G79" s="254">
        <v>22</v>
      </c>
      <c r="H79" s="254">
        <f>16*0.83</f>
        <v>13.28</v>
      </c>
      <c r="I79" s="254">
        <f>SUM(G79:H79)</f>
        <v>35.28</v>
      </c>
    </row>
    <row r="80" spans="1:33" x14ac:dyDescent="0.25">
      <c r="F80" s="230" t="s">
        <v>219</v>
      </c>
      <c r="G80" s="254">
        <v>22.5</v>
      </c>
      <c r="H80" s="254">
        <v>16</v>
      </c>
      <c r="I80" s="254">
        <f>SUM(G80:H80)</f>
        <v>38.5</v>
      </c>
    </row>
    <row r="81" spans="1:4" ht="15.75" thickBot="1" x14ac:dyDescent="0.3"/>
    <row r="82" spans="1:4" ht="15.75" thickBot="1" x14ac:dyDescent="0.3">
      <c r="A82" s="289" t="s">
        <v>205</v>
      </c>
      <c r="B82" s="290"/>
      <c r="C82" s="291"/>
      <c r="D82" s="292"/>
    </row>
    <row r="83" spans="1:4" ht="15.75" thickBot="1" x14ac:dyDescent="0.3">
      <c r="A83" s="293" t="s">
        <v>209</v>
      </c>
      <c r="B83" s="294"/>
      <c r="C83" s="295">
        <f>I79</f>
        <v>35.28</v>
      </c>
      <c r="D83" s="296"/>
    </row>
    <row r="84" spans="1:4" x14ac:dyDescent="0.25">
      <c r="A84" s="293" t="s">
        <v>210</v>
      </c>
      <c r="B84" s="319">
        <v>0.3</v>
      </c>
      <c r="C84" s="229">
        <f>C83*B84</f>
        <v>10.584</v>
      </c>
      <c r="D84" s="298"/>
    </row>
    <row r="85" spans="1:4" x14ac:dyDescent="0.25">
      <c r="A85" s="293" t="s">
        <v>211</v>
      </c>
      <c r="B85" s="297"/>
      <c r="C85" s="232">
        <f>SUM(C83:C84)</f>
        <v>45.864000000000004</v>
      </c>
      <c r="D85" s="298"/>
    </row>
    <row r="86" spans="1:4" ht="15.75" thickBot="1" x14ac:dyDescent="0.3">
      <c r="A86" s="299" t="s">
        <v>212</v>
      </c>
      <c r="B86" s="250"/>
      <c r="C86" s="300">
        <f>C85*1.0725</f>
        <v>49.189140000000002</v>
      </c>
      <c r="D86" s="301"/>
    </row>
    <row r="87" spans="1:4" ht="15.75" thickTop="1" x14ac:dyDescent="0.25">
      <c r="A87" s="302" t="s">
        <v>195</v>
      </c>
      <c r="B87" s="227">
        <v>8</v>
      </c>
      <c r="C87" s="253">
        <v>130</v>
      </c>
      <c r="D87" s="303">
        <f>B87*C87</f>
        <v>1040</v>
      </c>
    </row>
    <row r="88" spans="1:4" x14ac:dyDescent="0.25">
      <c r="A88" s="302" t="s">
        <v>196</v>
      </c>
      <c r="B88" s="227">
        <v>0</v>
      </c>
      <c r="C88" s="253">
        <v>700</v>
      </c>
      <c r="D88" s="303">
        <f>B88*C88</f>
        <v>0</v>
      </c>
    </row>
    <row r="89" spans="1:4" x14ac:dyDescent="0.25">
      <c r="A89" s="304" t="s">
        <v>23</v>
      </c>
      <c r="B89" s="116">
        <v>8</v>
      </c>
      <c r="C89" s="254">
        <v>70</v>
      </c>
      <c r="D89" s="305">
        <f>B89*C89</f>
        <v>560</v>
      </c>
    </row>
    <row r="90" spans="1:4" x14ac:dyDescent="0.25">
      <c r="A90" s="304" t="s">
        <v>197</v>
      </c>
      <c r="B90" s="116">
        <v>0</v>
      </c>
      <c r="C90" s="254">
        <v>0</v>
      </c>
      <c r="D90" s="305">
        <f>B90*C90</f>
        <v>0</v>
      </c>
    </row>
    <row r="91" spans="1:4" ht="15.75" thickBot="1" x14ac:dyDescent="0.3">
      <c r="A91" s="320" t="s">
        <v>198</v>
      </c>
      <c r="B91" s="321">
        <v>0.5</v>
      </c>
      <c r="C91" s="252">
        <v>100</v>
      </c>
      <c r="D91" s="322">
        <f>B91*C91</f>
        <v>50</v>
      </c>
    </row>
    <row r="92" spans="1:4" ht="15.75" thickTop="1" x14ac:dyDescent="0.25">
      <c r="A92" s="323" t="s">
        <v>199</v>
      </c>
      <c r="B92" s="257"/>
      <c r="C92" s="257"/>
      <c r="D92" s="324">
        <f>SUM(D87:D91)</f>
        <v>1650</v>
      </c>
    </row>
    <row r="93" spans="1:4" ht="15.75" thickBot="1" x14ac:dyDescent="0.3">
      <c r="A93" s="306" t="s">
        <v>213</v>
      </c>
      <c r="B93" s="307"/>
      <c r="C93" s="250"/>
      <c r="D93" s="308">
        <f>D92/B94</f>
        <v>57.89473684210526</v>
      </c>
    </row>
    <row r="94" spans="1:4" ht="15.75" thickTop="1" x14ac:dyDescent="0.25">
      <c r="A94" s="323" t="s">
        <v>214</v>
      </c>
      <c r="B94" s="247">
        <f>B101*0.5</f>
        <v>28.5</v>
      </c>
      <c r="C94" s="37"/>
      <c r="D94" s="309"/>
    </row>
    <row r="95" spans="1:4" x14ac:dyDescent="0.25">
      <c r="A95" s="304" t="s">
        <v>215</v>
      </c>
      <c r="B95" s="232">
        <f>C86+D93</f>
        <v>107.08387684210527</v>
      </c>
      <c r="C95" s="230"/>
      <c r="D95" s="298"/>
    </row>
    <row r="96" spans="1:4" x14ac:dyDescent="0.25">
      <c r="A96" s="304" t="s">
        <v>28</v>
      </c>
      <c r="B96" s="232">
        <f>B95*B94</f>
        <v>3051.8904900000002</v>
      </c>
      <c r="C96" s="230"/>
      <c r="D96" s="298"/>
    </row>
    <row r="97" spans="1:4" x14ac:dyDescent="0.25">
      <c r="A97" s="304" t="s">
        <v>200</v>
      </c>
      <c r="B97" s="325">
        <v>0.3</v>
      </c>
      <c r="C97" s="230"/>
      <c r="D97" s="298"/>
    </row>
    <row r="98" spans="1:4" x14ac:dyDescent="0.25">
      <c r="A98" s="304" t="s">
        <v>96</v>
      </c>
      <c r="B98" s="232">
        <f>B96*B97</f>
        <v>915.56714700000009</v>
      </c>
      <c r="C98" s="230"/>
      <c r="D98" s="310"/>
    </row>
    <row r="99" spans="1:4" x14ac:dyDescent="0.25">
      <c r="A99" s="304" t="s">
        <v>201</v>
      </c>
      <c r="B99" s="311">
        <v>25</v>
      </c>
      <c r="C99" s="230"/>
      <c r="D99" s="310"/>
    </row>
    <row r="100" spans="1:4" x14ac:dyDescent="0.25">
      <c r="A100" s="312" t="s">
        <v>202</v>
      </c>
      <c r="B100" s="326">
        <f>B96+B98+B99</f>
        <v>3992.4576370000004</v>
      </c>
      <c r="C100" s="313" t="s">
        <v>216</v>
      </c>
      <c r="D100" s="327">
        <f>B100/B94</f>
        <v>140.086232877193</v>
      </c>
    </row>
    <row r="101" spans="1:4" ht="15.75" thickBot="1" x14ac:dyDescent="0.3">
      <c r="A101" s="314" t="s">
        <v>203</v>
      </c>
      <c r="B101" s="315">
        <v>57</v>
      </c>
      <c r="C101" s="316" t="s">
        <v>204</v>
      </c>
      <c r="D101" s="328">
        <f>B100/B101</f>
        <v>70.043116438596499</v>
      </c>
    </row>
    <row r="102" spans="1:4" ht="15.75" thickBot="1" x14ac:dyDescent="0.3"/>
    <row r="103" spans="1:4" ht="15.75" thickBot="1" x14ac:dyDescent="0.3">
      <c r="A103" s="289" t="s">
        <v>208</v>
      </c>
      <c r="B103" s="290"/>
      <c r="C103" s="291"/>
      <c r="D103" s="292"/>
    </row>
    <row r="104" spans="1:4" ht="15.75" thickBot="1" x14ac:dyDescent="0.3">
      <c r="A104" s="293" t="s">
        <v>209</v>
      </c>
      <c r="B104" s="294"/>
      <c r="C104" s="295">
        <f>I79</f>
        <v>35.28</v>
      </c>
      <c r="D104" s="296"/>
    </row>
    <row r="105" spans="1:4" x14ac:dyDescent="0.25">
      <c r="A105" s="293" t="s">
        <v>210</v>
      </c>
      <c r="B105" s="319">
        <v>0.3</v>
      </c>
      <c r="C105" s="229">
        <f>C104*B105</f>
        <v>10.584</v>
      </c>
      <c r="D105" s="298"/>
    </row>
    <row r="106" spans="1:4" x14ac:dyDescent="0.25">
      <c r="A106" s="293" t="s">
        <v>211</v>
      </c>
      <c r="B106" s="297"/>
      <c r="C106" s="232">
        <f>SUM(C104:C105)</f>
        <v>45.864000000000004</v>
      </c>
      <c r="D106" s="298"/>
    </row>
    <row r="107" spans="1:4" ht="15.75" thickBot="1" x14ac:dyDescent="0.3">
      <c r="A107" s="299" t="s">
        <v>212</v>
      </c>
      <c r="B107" s="250"/>
      <c r="C107" s="300">
        <f>C106*1.0725</f>
        <v>49.189140000000002</v>
      </c>
      <c r="D107" s="301"/>
    </row>
    <row r="108" spans="1:4" ht="15.75" thickTop="1" x14ac:dyDescent="0.25">
      <c r="A108" s="302" t="s">
        <v>195</v>
      </c>
      <c r="B108" s="227">
        <v>8</v>
      </c>
      <c r="C108" s="253">
        <v>130</v>
      </c>
      <c r="D108" s="303">
        <f>B108*C108</f>
        <v>1040</v>
      </c>
    </row>
    <row r="109" spans="1:4" x14ac:dyDescent="0.25">
      <c r="A109" s="302" t="s">
        <v>196</v>
      </c>
      <c r="B109" s="227">
        <v>0</v>
      </c>
      <c r="C109" s="253">
        <v>700</v>
      </c>
      <c r="D109" s="303">
        <f>B109*C109</f>
        <v>0</v>
      </c>
    </row>
    <row r="110" spans="1:4" x14ac:dyDescent="0.25">
      <c r="A110" s="304" t="s">
        <v>23</v>
      </c>
      <c r="B110" s="116">
        <v>8</v>
      </c>
      <c r="C110" s="254">
        <v>70</v>
      </c>
      <c r="D110" s="305">
        <f>B110*C110</f>
        <v>560</v>
      </c>
    </row>
    <row r="111" spans="1:4" x14ac:dyDescent="0.25">
      <c r="A111" s="304" t="s">
        <v>197</v>
      </c>
      <c r="B111" s="116">
        <v>0</v>
      </c>
      <c r="C111" s="254">
        <v>0</v>
      </c>
      <c r="D111" s="305">
        <f>B111*C111</f>
        <v>0</v>
      </c>
    </row>
    <row r="112" spans="1:4" ht="15.75" thickBot="1" x14ac:dyDescent="0.3">
      <c r="A112" s="320" t="s">
        <v>198</v>
      </c>
      <c r="B112" s="321">
        <v>0.5</v>
      </c>
      <c r="C112" s="252">
        <v>100</v>
      </c>
      <c r="D112" s="322">
        <f>B112*C112</f>
        <v>50</v>
      </c>
    </row>
    <row r="113" spans="1:4" ht="15.75" thickTop="1" x14ac:dyDescent="0.25">
      <c r="A113" s="323" t="s">
        <v>199</v>
      </c>
      <c r="B113" s="257"/>
      <c r="C113" s="257"/>
      <c r="D113" s="324">
        <f>SUM(D108:D112)</f>
        <v>1650</v>
      </c>
    </row>
    <row r="114" spans="1:4" ht="15.75" thickBot="1" x14ac:dyDescent="0.3">
      <c r="A114" s="306" t="s">
        <v>213</v>
      </c>
      <c r="B114" s="307"/>
      <c r="C114" s="250"/>
      <c r="D114" s="308">
        <f>D113/B115</f>
        <v>115.78947368421052</v>
      </c>
    </row>
    <row r="115" spans="1:4" ht="15.75" thickTop="1" x14ac:dyDescent="0.25">
      <c r="A115" s="323" t="s">
        <v>214</v>
      </c>
      <c r="B115" s="247">
        <f>B122*0.25</f>
        <v>14.25</v>
      </c>
      <c r="C115" s="37"/>
      <c r="D115" s="309"/>
    </row>
    <row r="116" spans="1:4" x14ac:dyDescent="0.25">
      <c r="A116" s="304" t="s">
        <v>215</v>
      </c>
      <c r="B116" s="232">
        <f>C107+D114</f>
        <v>164.97861368421053</v>
      </c>
      <c r="C116" s="230"/>
      <c r="D116" s="298"/>
    </row>
    <row r="117" spans="1:4" x14ac:dyDescent="0.25">
      <c r="A117" s="304" t="s">
        <v>28</v>
      </c>
      <c r="B117" s="232">
        <f>B116*B115</f>
        <v>2350.9452449999999</v>
      </c>
      <c r="C117" s="230"/>
      <c r="D117" s="298"/>
    </row>
    <row r="118" spans="1:4" x14ac:dyDescent="0.25">
      <c r="A118" s="304" t="s">
        <v>200</v>
      </c>
      <c r="B118" s="325">
        <v>0.3</v>
      </c>
      <c r="C118" s="230"/>
      <c r="D118" s="298"/>
    </row>
    <row r="119" spans="1:4" x14ac:dyDescent="0.25">
      <c r="A119" s="304" t="s">
        <v>96</v>
      </c>
      <c r="B119" s="232">
        <f>B117*B118</f>
        <v>705.28357349999999</v>
      </c>
      <c r="C119" s="230"/>
      <c r="D119" s="310"/>
    </row>
    <row r="120" spans="1:4" x14ac:dyDescent="0.25">
      <c r="A120" s="304" t="s">
        <v>201</v>
      </c>
      <c r="B120" s="311">
        <v>25</v>
      </c>
      <c r="C120" s="230"/>
      <c r="D120" s="310"/>
    </row>
    <row r="121" spans="1:4" x14ac:dyDescent="0.25">
      <c r="A121" s="312" t="s">
        <v>202</v>
      </c>
      <c r="B121" s="326">
        <f>B117+B119+B120</f>
        <v>3081.2288184999998</v>
      </c>
      <c r="C121" s="313" t="s">
        <v>216</v>
      </c>
      <c r="D121" s="327">
        <f>B121/B115</f>
        <v>216.22658375438596</v>
      </c>
    </row>
    <row r="122" spans="1:4" ht="15.75" thickBot="1" x14ac:dyDescent="0.3">
      <c r="A122" s="314" t="s">
        <v>203</v>
      </c>
      <c r="B122" s="315">
        <v>57</v>
      </c>
      <c r="C122" s="316" t="s">
        <v>204</v>
      </c>
      <c r="D122" s="328">
        <f>B121/B122</f>
        <v>54.056645938596489</v>
      </c>
    </row>
    <row r="123" spans="1:4" ht="15.75" thickBot="1" x14ac:dyDescent="0.3"/>
    <row r="124" spans="1:4" ht="15.75" thickBot="1" x14ac:dyDescent="0.3">
      <c r="A124" s="289" t="s">
        <v>225</v>
      </c>
      <c r="B124" s="290"/>
      <c r="C124" s="291"/>
      <c r="D124" s="292"/>
    </row>
    <row r="125" spans="1:4" ht="15.75" thickBot="1" x14ac:dyDescent="0.3">
      <c r="A125" s="293" t="s">
        <v>209</v>
      </c>
      <c r="B125" s="294"/>
      <c r="C125" s="295">
        <f>I78</f>
        <v>29.97</v>
      </c>
      <c r="D125" s="296"/>
    </row>
    <row r="126" spans="1:4" x14ac:dyDescent="0.25">
      <c r="A126" s="293" t="s">
        <v>210</v>
      </c>
      <c r="B126" s="319">
        <v>0.3</v>
      </c>
      <c r="C126" s="229">
        <f>C125*B126</f>
        <v>8.9909999999999997</v>
      </c>
      <c r="D126" s="298"/>
    </row>
    <row r="127" spans="1:4" x14ac:dyDescent="0.25">
      <c r="A127" s="293" t="s">
        <v>211</v>
      </c>
      <c r="B127" s="297"/>
      <c r="C127" s="232">
        <f>SUM(C125:C126)</f>
        <v>38.960999999999999</v>
      </c>
      <c r="D127" s="298"/>
    </row>
    <row r="128" spans="1:4" ht="15.75" thickBot="1" x14ac:dyDescent="0.3">
      <c r="A128" s="299" t="s">
        <v>212</v>
      </c>
      <c r="B128" s="250"/>
      <c r="C128" s="300">
        <f>C127*1.0725</f>
        <v>41.785672499999997</v>
      </c>
      <c r="D128" s="301"/>
    </row>
    <row r="129" spans="1:4" ht="15.75" thickTop="1" x14ac:dyDescent="0.25">
      <c r="A129" s="302" t="s">
        <v>195</v>
      </c>
      <c r="B129" s="227">
        <v>12</v>
      </c>
      <c r="C129" s="253">
        <v>130</v>
      </c>
      <c r="D129" s="303">
        <f>B129*C129</f>
        <v>1560</v>
      </c>
    </row>
    <row r="130" spans="1:4" x14ac:dyDescent="0.25">
      <c r="A130" s="302" t="s">
        <v>196</v>
      </c>
      <c r="B130" s="227">
        <v>10</v>
      </c>
      <c r="C130" s="253">
        <v>700</v>
      </c>
      <c r="D130" s="303">
        <f>B130*C130</f>
        <v>7000</v>
      </c>
    </row>
    <row r="131" spans="1:4" x14ac:dyDescent="0.25">
      <c r="A131" s="304" t="s">
        <v>23</v>
      </c>
      <c r="B131" s="116">
        <v>60</v>
      </c>
      <c r="C131" s="254">
        <v>70</v>
      </c>
      <c r="D131" s="305">
        <f>B131*C131</f>
        <v>4200</v>
      </c>
    </row>
    <row r="132" spans="1:4" x14ac:dyDescent="0.25">
      <c r="A132" s="304" t="s">
        <v>197</v>
      </c>
      <c r="B132" s="116">
        <v>0</v>
      </c>
      <c r="C132" s="254">
        <v>0</v>
      </c>
      <c r="D132" s="305">
        <f>B132*C132</f>
        <v>0</v>
      </c>
    </row>
    <row r="133" spans="1:4" ht="15.75" thickBot="1" x14ac:dyDescent="0.3">
      <c r="A133" s="320" t="s">
        <v>198</v>
      </c>
      <c r="B133" s="321">
        <v>2</v>
      </c>
      <c r="C133" s="252">
        <v>100</v>
      </c>
      <c r="D133" s="322">
        <f>B133*C133</f>
        <v>200</v>
      </c>
    </row>
    <row r="134" spans="1:4" ht="15.75" thickTop="1" x14ac:dyDescent="0.25">
      <c r="A134" s="323" t="s">
        <v>199</v>
      </c>
      <c r="B134" s="257"/>
      <c r="C134" s="257"/>
      <c r="D134" s="324">
        <f>SUM(D129:D133)</f>
        <v>12960</v>
      </c>
    </row>
    <row r="135" spans="1:4" ht="15.75" thickBot="1" x14ac:dyDescent="0.3">
      <c r="A135" s="306" t="s">
        <v>213</v>
      </c>
      <c r="B135" s="307"/>
      <c r="C135" s="250"/>
      <c r="D135" s="308">
        <f>D134/B136</f>
        <v>43.7579133957964</v>
      </c>
    </row>
    <row r="136" spans="1:4" ht="15.75" thickTop="1" x14ac:dyDescent="0.25">
      <c r="A136" s="323" t="s">
        <v>214</v>
      </c>
      <c r="B136" s="247">
        <f>B143*0.5</f>
        <v>296.17500000000001</v>
      </c>
      <c r="C136" s="37"/>
      <c r="D136" s="309"/>
    </row>
    <row r="137" spans="1:4" x14ac:dyDescent="0.25">
      <c r="A137" s="304" t="s">
        <v>215</v>
      </c>
      <c r="B137" s="232">
        <f>C128+D135</f>
        <v>85.543585895796397</v>
      </c>
      <c r="C137" s="230"/>
      <c r="D137" s="298"/>
    </row>
    <row r="138" spans="1:4" x14ac:dyDescent="0.25">
      <c r="A138" s="304" t="s">
        <v>28</v>
      </c>
      <c r="B138" s="232">
        <f>B137*B136</f>
        <v>25335.871552687498</v>
      </c>
      <c r="C138" s="230"/>
      <c r="D138" s="298"/>
    </row>
    <row r="139" spans="1:4" x14ac:dyDescent="0.25">
      <c r="A139" s="304" t="s">
        <v>200</v>
      </c>
      <c r="B139" s="325">
        <v>0.3</v>
      </c>
      <c r="C139" s="230"/>
      <c r="D139" s="298"/>
    </row>
    <row r="140" spans="1:4" x14ac:dyDescent="0.25">
      <c r="A140" s="304" t="s">
        <v>96</v>
      </c>
      <c r="B140" s="232">
        <f>B138*B139</f>
        <v>7600.7614658062494</v>
      </c>
      <c r="C140" s="230"/>
      <c r="D140" s="310"/>
    </row>
    <row r="141" spans="1:4" x14ac:dyDescent="0.25">
      <c r="A141" s="304" t="s">
        <v>201</v>
      </c>
      <c r="B141" s="311">
        <v>100</v>
      </c>
      <c r="C141" s="230"/>
      <c r="D141" s="310"/>
    </row>
    <row r="142" spans="1:4" x14ac:dyDescent="0.25">
      <c r="A142" s="312" t="s">
        <v>202</v>
      </c>
      <c r="B142" s="326">
        <f>B138+B140+B141</f>
        <v>33036.633018493747</v>
      </c>
      <c r="C142" s="313" t="s">
        <v>216</v>
      </c>
      <c r="D142" s="327">
        <f>B142/B136</f>
        <v>111.54429988518189</v>
      </c>
    </row>
    <row r="143" spans="1:4" ht="15.75" thickBot="1" x14ac:dyDescent="0.3">
      <c r="A143" s="314" t="s">
        <v>203</v>
      </c>
      <c r="B143" s="315">
        <f>Q67</f>
        <v>592.35</v>
      </c>
      <c r="C143" s="316" t="s">
        <v>204</v>
      </c>
      <c r="D143" s="328">
        <f>B142/B143</f>
        <v>55.772149942590943</v>
      </c>
    </row>
    <row r="144" spans="1:4" ht="15.75" thickBot="1" x14ac:dyDescent="0.3"/>
    <row r="145" spans="1:4" ht="15.75" thickBot="1" x14ac:dyDescent="0.3">
      <c r="A145" s="289" t="s">
        <v>104</v>
      </c>
      <c r="B145" s="290"/>
      <c r="C145" s="291"/>
      <c r="D145" s="292"/>
    </row>
    <row r="146" spans="1:4" ht="15.75" thickBot="1" x14ac:dyDescent="0.3">
      <c r="A146" s="293" t="s">
        <v>209</v>
      </c>
      <c r="B146" s="294"/>
      <c r="C146" s="295">
        <f>I77</f>
        <v>20</v>
      </c>
      <c r="D146" s="296"/>
    </row>
    <row r="147" spans="1:4" x14ac:dyDescent="0.25">
      <c r="A147" s="293" t="s">
        <v>210</v>
      </c>
      <c r="B147" s="319">
        <v>0.2</v>
      </c>
      <c r="C147" s="229">
        <f>C146*B147</f>
        <v>4</v>
      </c>
      <c r="D147" s="298"/>
    </row>
    <row r="148" spans="1:4" x14ac:dyDescent="0.25">
      <c r="A148" s="293" t="s">
        <v>211</v>
      </c>
      <c r="B148" s="297"/>
      <c r="C148" s="232">
        <f>SUM(C146:C147)</f>
        <v>24</v>
      </c>
      <c r="D148" s="298"/>
    </row>
    <row r="149" spans="1:4" ht="15.75" thickBot="1" x14ac:dyDescent="0.3">
      <c r="A149" s="299" t="s">
        <v>212</v>
      </c>
      <c r="B149" s="250"/>
      <c r="C149" s="300">
        <f>C148*1.0725</f>
        <v>25.740000000000002</v>
      </c>
      <c r="D149" s="301"/>
    </row>
    <row r="150" spans="1:4" ht="15.75" thickTop="1" x14ac:dyDescent="0.25">
      <c r="A150" s="302" t="s">
        <v>195</v>
      </c>
      <c r="B150" s="227">
        <v>2</v>
      </c>
      <c r="C150" s="253">
        <v>130</v>
      </c>
      <c r="D150" s="303">
        <f>B150*C150</f>
        <v>260</v>
      </c>
    </row>
    <row r="151" spans="1:4" x14ac:dyDescent="0.25">
      <c r="A151" s="302" t="s">
        <v>196</v>
      </c>
      <c r="B151" s="227">
        <v>0</v>
      </c>
      <c r="C151" s="253">
        <v>700</v>
      </c>
      <c r="D151" s="303">
        <f>B151*C151</f>
        <v>0</v>
      </c>
    </row>
    <row r="152" spans="1:4" x14ac:dyDescent="0.25">
      <c r="A152" s="304" t="s">
        <v>23</v>
      </c>
      <c r="B152" s="116">
        <v>3</v>
      </c>
      <c r="C152" s="254">
        <v>70</v>
      </c>
      <c r="D152" s="305">
        <f>B152*C152</f>
        <v>210</v>
      </c>
    </row>
    <row r="153" spans="1:4" x14ac:dyDescent="0.25">
      <c r="A153" s="304" t="s">
        <v>197</v>
      </c>
      <c r="B153" s="116">
        <v>0</v>
      </c>
      <c r="C153" s="254">
        <v>0</v>
      </c>
      <c r="D153" s="305">
        <f>B153*C153</f>
        <v>0</v>
      </c>
    </row>
    <row r="154" spans="1:4" ht="15.75" thickBot="1" x14ac:dyDescent="0.3">
      <c r="A154" s="320" t="s">
        <v>198</v>
      </c>
      <c r="B154" s="321">
        <v>0</v>
      </c>
      <c r="C154" s="252">
        <v>100</v>
      </c>
      <c r="D154" s="322">
        <f>B154*C154</f>
        <v>0</v>
      </c>
    </row>
    <row r="155" spans="1:4" ht="15.75" thickTop="1" x14ac:dyDescent="0.25">
      <c r="A155" s="323" t="s">
        <v>199</v>
      </c>
      <c r="B155" s="257"/>
      <c r="C155" s="257"/>
      <c r="D155" s="324">
        <f>SUM(D150:D154)</f>
        <v>470</v>
      </c>
    </row>
    <row r="156" spans="1:4" ht="15.75" thickBot="1" x14ac:dyDescent="0.3">
      <c r="A156" s="306" t="s">
        <v>213</v>
      </c>
      <c r="B156" s="307"/>
      <c r="C156" s="250"/>
      <c r="D156" s="308">
        <f>D155/B157</f>
        <v>23.5</v>
      </c>
    </row>
    <row r="157" spans="1:4" ht="15.75" thickTop="1" x14ac:dyDescent="0.25">
      <c r="A157" s="323" t="s">
        <v>214</v>
      </c>
      <c r="B157" s="247">
        <f>B164*0.5</f>
        <v>20</v>
      </c>
      <c r="C157" s="37"/>
      <c r="D157" s="309"/>
    </row>
    <row r="158" spans="1:4" x14ac:dyDescent="0.25">
      <c r="A158" s="304" t="s">
        <v>215</v>
      </c>
      <c r="B158" s="232">
        <f>C149+D156</f>
        <v>49.24</v>
      </c>
      <c r="C158" s="230"/>
      <c r="D158" s="298"/>
    </row>
    <row r="159" spans="1:4" x14ac:dyDescent="0.25">
      <c r="A159" s="304" t="s">
        <v>28</v>
      </c>
      <c r="B159" s="232">
        <f>B158*B157</f>
        <v>984.80000000000007</v>
      </c>
      <c r="C159" s="230"/>
      <c r="D159" s="298"/>
    </row>
    <row r="160" spans="1:4" x14ac:dyDescent="0.25">
      <c r="A160" s="304" t="s">
        <v>200</v>
      </c>
      <c r="B160" s="325">
        <v>0.3</v>
      </c>
      <c r="C160" s="230"/>
      <c r="D160" s="298"/>
    </row>
    <row r="161" spans="1:4" x14ac:dyDescent="0.25">
      <c r="A161" s="304" t="s">
        <v>96</v>
      </c>
      <c r="B161" s="232">
        <f>B159*B160</f>
        <v>295.44</v>
      </c>
      <c r="C161" s="230"/>
      <c r="D161" s="310"/>
    </row>
    <row r="162" spans="1:4" x14ac:dyDescent="0.25">
      <c r="A162" s="304" t="s">
        <v>201</v>
      </c>
      <c r="B162" s="311">
        <v>10</v>
      </c>
      <c r="C162" s="230"/>
      <c r="D162" s="310"/>
    </row>
    <row r="163" spans="1:4" x14ac:dyDescent="0.25">
      <c r="A163" s="312" t="s">
        <v>202</v>
      </c>
      <c r="B163" s="326">
        <f>B159+B161+B162</f>
        <v>1290.24</v>
      </c>
      <c r="C163" s="313" t="s">
        <v>216</v>
      </c>
      <c r="D163" s="327">
        <f>B163/B157</f>
        <v>64.512</v>
      </c>
    </row>
    <row r="164" spans="1:4" ht="15.75" thickBot="1" x14ac:dyDescent="0.3">
      <c r="A164" s="314" t="s">
        <v>203</v>
      </c>
      <c r="B164" s="315">
        <v>40</v>
      </c>
      <c r="C164" s="316" t="s">
        <v>204</v>
      </c>
      <c r="D164" s="328">
        <f>B163/B164</f>
        <v>32.256</v>
      </c>
    </row>
    <row r="165" spans="1:4" ht="15.75" thickBot="1" x14ac:dyDescent="0.3"/>
    <row r="166" spans="1:4" ht="15.75" thickBot="1" x14ac:dyDescent="0.3">
      <c r="A166" s="289" t="s">
        <v>230</v>
      </c>
      <c r="B166" s="290"/>
      <c r="C166" s="291"/>
      <c r="D166" s="292"/>
    </row>
    <row r="167" spans="1:4" ht="15.75" thickBot="1" x14ac:dyDescent="0.3">
      <c r="A167" s="293" t="s">
        <v>209</v>
      </c>
      <c r="B167" s="294"/>
      <c r="C167" s="295">
        <v>22</v>
      </c>
      <c r="D167" s="296"/>
    </row>
    <row r="168" spans="1:4" x14ac:dyDescent="0.25">
      <c r="A168" s="293" t="s">
        <v>210</v>
      </c>
      <c r="B168" s="319">
        <v>0.2</v>
      </c>
      <c r="C168" s="229">
        <f>C167*B168</f>
        <v>4.4000000000000004</v>
      </c>
      <c r="D168" s="298"/>
    </row>
    <row r="169" spans="1:4" x14ac:dyDescent="0.25">
      <c r="A169" s="293" t="s">
        <v>211</v>
      </c>
      <c r="B169" s="297"/>
      <c r="C169" s="232">
        <f>SUM(C167:C168)</f>
        <v>26.4</v>
      </c>
      <c r="D169" s="298"/>
    </row>
    <row r="170" spans="1:4" ht="15.75" thickBot="1" x14ac:dyDescent="0.3">
      <c r="A170" s="299" t="s">
        <v>212</v>
      </c>
      <c r="B170" s="250"/>
      <c r="C170" s="300">
        <f>C169*1.0725</f>
        <v>28.314</v>
      </c>
      <c r="D170" s="301"/>
    </row>
    <row r="171" spans="1:4" ht="15.75" thickTop="1" x14ac:dyDescent="0.25">
      <c r="A171" s="302" t="s">
        <v>195</v>
      </c>
      <c r="B171" s="227">
        <v>6</v>
      </c>
      <c r="C171" s="253">
        <v>130</v>
      </c>
      <c r="D171" s="303">
        <f>B171*C171</f>
        <v>780</v>
      </c>
    </row>
    <row r="172" spans="1:4" x14ac:dyDescent="0.25">
      <c r="A172" s="302" t="s">
        <v>196</v>
      </c>
      <c r="B172" s="227">
        <v>0</v>
      </c>
      <c r="C172" s="253">
        <v>700</v>
      </c>
      <c r="D172" s="303">
        <f>B172*C172</f>
        <v>0</v>
      </c>
    </row>
    <row r="173" spans="1:4" x14ac:dyDescent="0.25">
      <c r="A173" s="304" t="s">
        <v>23</v>
      </c>
      <c r="B173" s="116">
        <v>6</v>
      </c>
      <c r="C173" s="254">
        <v>70</v>
      </c>
      <c r="D173" s="305">
        <f>B173*C173</f>
        <v>420</v>
      </c>
    </row>
    <row r="174" spans="1:4" x14ac:dyDescent="0.25">
      <c r="A174" s="304" t="s">
        <v>197</v>
      </c>
      <c r="B174" s="116">
        <v>0</v>
      </c>
      <c r="C174" s="254">
        <v>0</v>
      </c>
      <c r="D174" s="305">
        <f>B174*C174</f>
        <v>0</v>
      </c>
    </row>
    <row r="175" spans="1:4" ht="15.75" thickBot="1" x14ac:dyDescent="0.3">
      <c r="A175" s="320" t="s">
        <v>198</v>
      </c>
      <c r="B175" s="321">
        <v>2</v>
      </c>
      <c r="C175" s="252">
        <v>100</v>
      </c>
      <c r="D175" s="322">
        <f>B175*C175</f>
        <v>200</v>
      </c>
    </row>
    <row r="176" spans="1:4" ht="15.75" thickTop="1" x14ac:dyDescent="0.25">
      <c r="A176" s="323" t="s">
        <v>199</v>
      </c>
      <c r="B176" s="257"/>
      <c r="C176" s="257"/>
      <c r="D176" s="324">
        <f>SUM(D171:D175)</f>
        <v>1400</v>
      </c>
    </row>
    <row r="177" spans="1:6" ht="15.75" thickBot="1" x14ac:dyDescent="0.3">
      <c r="A177" s="306" t="s">
        <v>213</v>
      </c>
      <c r="B177" s="307"/>
      <c r="C177" s="250"/>
      <c r="D177" s="308">
        <f>D176/B178</f>
        <v>12.903225806451612</v>
      </c>
    </row>
    <row r="178" spans="1:6" ht="15.75" thickTop="1" x14ac:dyDescent="0.25">
      <c r="A178" s="323" t="s">
        <v>214</v>
      </c>
      <c r="B178" s="247">
        <v>108.5</v>
      </c>
      <c r="C178" s="37"/>
      <c r="D178" s="309"/>
    </row>
    <row r="179" spans="1:6" x14ac:dyDescent="0.25">
      <c r="A179" s="304" t="s">
        <v>215</v>
      </c>
      <c r="B179" s="232">
        <f>C170+D177</f>
        <v>41.217225806451609</v>
      </c>
      <c r="C179" s="230"/>
      <c r="D179" s="298"/>
    </row>
    <row r="180" spans="1:6" x14ac:dyDescent="0.25">
      <c r="A180" s="304" t="s">
        <v>28</v>
      </c>
      <c r="B180" s="232">
        <f>B179*B178</f>
        <v>4472.0689999999995</v>
      </c>
      <c r="C180" s="230"/>
      <c r="D180" s="298"/>
    </row>
    <row r="181" spans="1:6" x14ac:dyDescent="0.25">
      <c r="A181" s="304" t="s">
        <v>200</v>
      </c>
      <c r="B181" s="325">
        <v>0.3</v>
      </c>
      <c r="C181" s="230"/>
      <c r="D181" s="298"/>
    </row>
    <row r="182" spans="1:6" x14ac:dyDescent="0.25">
      <c r="A182" s="304" t="s">
        <v>96</v>
      </c>
      <c r="B182" s="232">
        <f>B180*B181</f>
        <v>1341.6206999999997</v>
      </c>
      <c r="C182" s="230"/>
      <c r="D182" s="310"/>
    </row>
    <row r="183" spans="1:6" x14ac:dyDescent="0.25">
      <c r="A183" s="304" t="s">
        <v>201</v>
      </c>
      <c r="B183" s="311">
        <v>50</v>
      </c>
      <c r="C183" s="230"/>
      <c r="D183" s="310"/>
    </row>
    <row r="184" spans="1:6" x14ac:dyDescent="0.25">
      <c r="A184" s="312" t="s">
        <v>202</v>
      </c>
      <c r="B184" s="326">
        <f>B180+B182+B183</f>
        <v>5863.689699999999</v>
      </c>
      <c r="C184" s="313" t="s">
        <v>216</v>
      </c>
      <c r="D184" s="327">
        <f>B184/B178</f>
        <v>54.043223041474647</v>
      </c>
      <c r="E184">
        <v>25</v>
      </c>
      <c r="F184" s="205">
        <f>D184*E184</f>
        <v>1351.0805760368662</v>
      </c>
    </row>
    <row r="185" spans="1:6" ht="15.75" thickBot="1" x14ac:dyDescent="0.3">
      <c r="A185" s="314" t="s">
        <v>203</v>
      </c>
      <c r="B185" s="315">
        <f>AG66</f>
        <v>108.5</v>
      </c>
      <c r="C185" s="316" t="s">
        <v>204</v>
      </c>
      <c r="D185" s="328">
        <f>B184/B185</f>
        <v>54.043223041474647</v>
      </c>
      <c r="E185">
        <v>40</v>
      </c>
      <c r="F185" s="205">
        <f>D184*E185</f>
        <v>2161.7289216589861</v>
      </c>
    </row>
    <row r="186" spans="1:6" ht="15.75" thickBot="1" x14ac:dyDescent="0.3">
      <c r="A186" s="331"/>
      <c r="B186" s="332"/>
      <c r="C186" s="333"/>
      <c r="D186" s="334"/>
    </row>
    <row r="187" spans="1:6" ht="15.75" thickBot="1" x14ac:dyDescent="0.3">
      <c r="A187" s="289" t="s">
        <v>103</v>
      </c>
      <c r="B187" s="290"/>
      <c r="C187" s="291"/>
      <c r="D187" s="292"/>
    </row>
    <row r="188" spans="1:6" ht="15.75" thickBot="1" x14ac:dyDescent="0.3">
      <c r="A188" s="293" t="s">
        <v>209</v>
      </c>
      <c r="B188" s="294"/>
      <c r="C188" s="295">
        <f>I78</f>
        <v>29.97</v>
      </c>
      <c r="D188" s="296"/>
    </row>
    <row r="189" spans="1:6" x14ac:dyDescent="0.25">
      <c r="A189" s="293" t="s">
        <v>210</v>
      </c>
      <c r="B189" s="319">
        <v>0.3</v>
      </c>
      <c r="C189" s="229">
        <f>C188*B189</f>
        <v>8.9909999999999997</v>
      </c>
      <c r="D189" s="298"/>
    </row>
    <row r="190" spans="1:6" x14ac:dyDescent="0.25">
      <c r="A190" s="293" t="s">
        <v>211</v>
      </c>
      <c r="B190" s="297"/>
      <c r="C190" s="232">
        <f>SUM(C188:C189)</f>
        <v>38.960999999999999</v>
      </c>
      <c r="D190" s="298"/>
    </row>
    <row r="191" spans="1:6" ht="15.75" thickBot="1" x14ac:dyDescent="0.3">
      <c r="A191" s="299" t="s">
        <v>212</v>
      </c>
      <c r="B191" s="250"/>
      <c r="C191" s="300">
        <f>C190*1.0725</f>
        <v>41.785672499999997</v>
      </c>
      <c r="D191" s="301"/>
    </row>
    <row r="192" spans="1:6" ht="15.75" thickTop="1" x14ac:dyDescent="0.25">
      <c r="A192" s="302" t="s">
        <v>195</v>
      </c>
      <c r="B192" s="227">
        <v>12</v>
      </c>
      <c r="C192" s="253">
        <v>130</v>
      </c>
      <c r="D192" s="303">
        <f>B192*C192</f>
        <v>1560</v>
      </c>
    </row>
    <row r="193" spans="1:5" x14ac:dyDescent="0.25">
      <c r="A193" s="302" t="s">
        <v>196</v>
      </c>
      <c r="B193" s="227">
        <v>1</v>
      </c>
      <c r="C193" s="253">
        <v>700</v>
      </c>
      <c r="D193" s="303">
        <f>B193*C193</f>
        <v>700</v>
      </c>
    </row>
    <row r="194" spans="1:5" x14ac:dyDescent="0.25">
      <c r="A194" s="304" t="s">
        <v>23</v>
      </c>
      <c r="B194" s="116">
        <v>8</v>
      </c>
      <c r="C194" s="254">
        <v>70</v>
      </c>
      <c r="D194" s="305">
        <f>B194*C194</f>
        <v>560</v>
      </c>
    </row>
    <row r="195" spans="1:5" x14ac:dyDescent="0.25">
      <c r="A195" s="304" t="s">
        <v>197</v>
      </c>
      <c r="B195" s="116">
        <v>0</v>
      </c>
      <c r="C195" s="254">
        <v>0</v>
      </c>
      <c r="D195" s="305">
        <f>B195*C195</f>
        <v>0</v>
      </c>
    </row>
    <row r="196" spans="1:5" ht="15.75" thickBot="1" x14ac:dyDescent="0.3">
      <c r="A196" s="320" t="s">
        <v>198</v>
      </c>
      <c r="B196" s="321">
        <v>2</v>
      </c>
      <c r="C196" s="252">
        <v>100</v>
      </c>
      <c r="D196" s="322">
        <f>B196*C196</f>
        <v>200</v>
      </c>
    </row>
    <row r="197" spans="1:5" ht="15.75" thickTop="1" x14ac:dyDescent="0.25">
      <c r="A197" s="323" t="s">
        <v>199</v>
      </c>
      <c r="B197" s="257"/>
      <c r="C197" s="257"/>
      <c r="D197" s="324">
        <f>SUM(D192:D196)</f>
        <v>3020</v>
      </c>
    </row>
    <row r="198" spans="1:5" ht="15.75" thickBot="1" x14ac:dyDescent="0.3">
      <c r="A198" s="306" t="s">
        <v>213</v>
      </c>
      <c r="B198" s="307"/>
      <c r="C198" s="250"/>
      <c r="D198" s="308">
        <f>D197/B199</f>
        <v>251.66666666666666</v>
      </c>
    </row>
    <row r="199" spans="1:5" ht="15.75" thickTop="1" x14ac:dyDescent="0.25">
      <c r="A199" s="323" t="s">
        <v>214</v>
      </c>
      <c r="B199" s="247">
        <v>12</v>
      </c>
      <c r="C199" s="37"/>
      <c r="D199" s="309"/>
    </row>
    <row r="200" spans="1:5" x14ac:dyDescent="0.25">
      <c r="A200" s="304" t="s">
        <v>215</v>
      </c>
      <c r="B200" s="232">
        <f>C191+D198</f>
        <v>293.45233916666666</v>
      </c>
      <c r="C200" s="230"/>
      <c r="D200" s="298"/>
    </row>
    <row r="201" spans="1:5" x14ac:dyDescent="0.25">
      <c r="A201" s="304" t="s">
        <v>28</v>
      </c>
      <c r="B201" s="232">
        <f>B200*B199</f>
        <v>3521.4280699999999</v>
      </c>
      <c r="C201" s="230"/>
      <c r="D201" s="298"/>
    </row>
    <row r="202" spans="1:5" x14ac:dyDescent="0.25">
      <c r="A202" s="304" t="s">
        <v>200</v>
      </c>
      <c r="B202" s="325">
        <v>0.3</v>
      </c>
      <c r="C202" s="230"/>
      <c r="D202" s="298"/>
    </row>
    <row r="203" spans="1:5" x14ac:dyDescent="0.25">
      <c r="A203" s="304" t="s">
        <v>96</v>
      </c>
      <c r="B203" s="232">
        <f>B201*B202</f>
        <v>1056.4284209999998</v>
      </c>
      <c r="C203" s="230"/>
      <c r="D203" s="310"/>
    </row>
    <row r="204" spans="1:5" x14ac:dyDescent="0.25">
      <c r="A204" s="304" t="s">
        <v>201</v>
      </c>
      <c r="B204" s="311">
        <v>25</v>
      </c>
      <c r="C204" s="230"/>
      <c r="D204" s="310"/>
    </row>
    <row r="205" spans="1:5" x14ac:dyDescent="0.25">
      <c r="A205" s="312" t="s">
        <v>202</v>
      </c>
      <c r="B205" s="326">
        <f>B201+B203+B204</f>
        <v>4602.8564909999996</v>
      </c>
      <c r="C205" s="313" t="s">
        <v>216</v>
      </c>
      <c r="D205" s="327">
        <f>B205/B199</f>
        <v>383.57137424999996</v>
      </c>
    </row>
    <row r="206" spans="1:5" ht="15.75" thickBot="1" x14ac:dyDescent="0.3">
      <c r="A206" s="314" t="s">
        <v>203</v>
      </c>
      <c r="B206" s="315">
        <v>12</v>
      </c>
      <c r="C206" s="316" t="s">
        <v>204</v>
      </c>
      <c r="D206" s="328">
        <f>B205/B206</f>
        <v>383.57137424999996</v>
      </c>
    </row>
    <row r="208" spans="1:5" ht="15.75" x14ac:dyDescent="0.25">
      <c r="A208" s="1" t="s">
        <v>3</v>
      </c>
      <c r="B208" s="404" t="s">
        <v>226</v>
      </c>
      <c r="C208" s="404"/>
      <c r="D208" s="404"/>
      <c r="E208" s="404"/>
    </row>
    <row r="209" spans="1:5" ht="15.75" x14ac:dyDescent="0.25">
      <c r="A209" s="1" t="s">
        <v>4</v>
      </c>
      <c r="B209" s="404" t="s">
        <v>227</v>
      </c>
      <c r="C209" s="404"/>
      <c r="D209" s="404"/>
      <c r="E209" s="404"/>
    </row>
    <row r="210" spans="1:5" ht="16.5" thickBot="1" x14ac:dyDescent="0.3">
      <c r="A210" s="2" t="s">
        <v>6</v>
      </c>
      <c r="B210" s="388" t="s">
        <v>7</v>
      </c>
      <c r="C210" s="388"/>
      <c r="D210" s="388"/>
      <c r="E210" s="388"/>
    </row>
    <row r="211" spans="1:5" ht="16.5" thickBot="1" x14ac:dyDescent="0.3">
      <c r="A211" s="3" t="s">
        <v>8</v>
      </c>
      <c r="B211" s="405"/>
      <c r="C211" s="405"/>
      <c r="D211" s="405"/>
      <c r="E211" s="406"/>
    </row>
    <row r="212" spans="1:5" ht="15.75" thickBot="1" x14ac:dyDescent="0.3">
      <c r="A212" s="4" t="s">
        <v>9</v>
      </c>
      <c r="B212" s="5" t="s">
        <v>10</v>
      </c>
      <c r="C212" s="5" t="s">
        <v>11</v>
      </c>
      <c r="D212" s="5" t="s">
        <v>12</v>
      </c>
      <c r="E212" s="6" t="s">
        <v>13</v>
      </c>
    </row>
    <row r="213" spans="1:5" ht="15.75" thickTop="1" x14ac:dyDescent="0.25">
      <c r="A213" s="7" t="s">
        <v>228</v>
      </c>
      <c r="B213" s="8">
        <v>6</v>
      </c>
      <c r="C213" s="8">
        <v>6</v>
      </c>
      <c r="D213" s="8">
        <v>430</v>
      </c>
      <c r="E213" s="9">
        <f t="shared" ref="E213:E216" si="31">B213*C213*D213</f>
        <v>15480</v>
      </c>
    </row>
    <row r="214" spans="1:5" x14ac:dyDescent="0.25">
      <c r="A214" s="7" t="s">
        <v>229</v>
      </c>
      <c r="B214" s="8">
        <v>10</v>
      </c>
      <c r="C214" s="8">
        <v>10</v>
      </c>
      <c r="D214" s="8">
        <v>80</v>
      </c>
      <c r="E214" s="9">
        <f t="shared" si="31"/>
        <v>8000</v>
      </c>
    </row>
    <row r="215" spans="1:5" x14ac:dyDescent="0.25">
      <c r="A215" s="7"/>
      <c r="B215" s="8"/>
      <c r="C215" s="8"/>
      <c r="D215" s="8"/>
      <c r="E215" s="9">
        <f t="shared" si="31"/>
        <v>0</v>
      </c>
    </row>
    <row r="216" spans="1:5" ht="15.75" thickBot="1" x14ac:dyDescent="0.3">
      <c r="A216" s="10"/>
      <c r="B216" s="11"/>
      <c r="C216" s="11"/>
      <c r="D216" s="11"/>
      <c r="E216" s="12">
        <f t="shared" si="31"/>
        <v>0</v>
      </c>
    </row>
    <row r="217" spans="1:5" ht="15.75" thickTop="1" x14ac:dyDescent="0.25">
      <c r="A217" s="13" t="s">
        <v>14</v>
      </c>
      <c r="B217" s="14"/>
      <c r="C217" s="14"/>
      <c r="D217" s="14"/>
      <c r="E217" s="15">
        <f>SUM(E213:E216)</f>
        <v>23480</v>
      </c>
    </row>
    <row r="218" spans="1:5" ht="15.75" thickBot="1" x14ac:dyDescent="0.3">
      <c r="A218" s="16" t="s">
        <v>15</v>
      </c>
      <c r="B218" s="16">
        <v>1728</v>
      </c>
      <c r="C218" s="16"/>
      <c r="D218" s="16"/>
      <c r="E218" s="17">
        <f>E217/B218</f>
        <v>13.587962962962964</v>
      </c>
    </row>
    <row r="219" spans="1:5" ht="15.75" thickBot="1" x14ac:dyDescent="0.3">
      <c r="A219" s="16" t="s">
        <v>16</v>
      </c>
      <c r="B219" s="16"/>
      <c r="C219" s="16"/>
      <c r="D219" s="18"/>
      <c r="E219" s="19">
        <v>60</v>
      </c>
    </row>
    <row r="220" spans="1:5" ht="15.75" thickBot="1" x14ac:dyDescent="0.3">
      <c r="A220" s="16" t="s">
        <v>17</v>
      </c>
      <c r="B220" s="20"/>
      <c r="C220" s="16"/>
      <c r="D220" s="16"/>
      <c r="E220" s="21">
        <f>E218*E219</f>
        <v>815.27777777777783</v>
      </c>
    </row>
    <row r="221" spans="1:5" ht="15.75" thickBot="1" x14ac:dyDescent="0.3">
      <c r="A221" s="18" t="s">
        <v>18</v>
      </c>
      <c r="B221" s="22">
        <v>0.3</v>
      </c>
      <c r="C221" s="23"/>
      <c r="D221" s="16"/>
      <c r="E221" s="24">
        <f>E220*B221</f>
        <v>244.58333333333334</v>
      </c>
    </row>
    <row r="222" spans="1:5" x14ac:dyDescent="0.25">
      <c r="A222" s="16" t="s">
        <v>19</v>
      </c>
      <c r="B222" s="13"/>
      <c r="C222" s="16"/>
      <c r="D222" s="16"/>
      <c r="E222" s="24">
        <f>SUM(E220:E221)</f>
        <v>1059.8611111111111</v>
      </c>
    </row>
    <row r="223" spans="1:5" ht="15.75" thickBot="1" x14ac:dyDescent="0.3">
      <c r="A223" s="25" t="s">
        <v>20</v>
      </c>
      <c r="B223" s="25"/>
      <c r="C223" s="25"/>
      <c r="D223" s="25"/>
      <c r="E223" s="26">
        <f>E222*1.0725</f>
        <v>1136.7010416666667</v>
      </c>
    </row>
    <row r="224" spans="1:5" ht="15.75" thickTop="1" x14ac:dyDescent="0.25">
      <c r="A224" s="16" t="s">
        <v>21</v>
      </c>
      <c r="B224" s="27">
        <v>6</v>
      </c>
      <c r="C224" s="28">
        <v>130</v>
      </c>
      <c r="D224" s="29">
        <f>B224*C224</f>
        <v>780</v>
      </c>
      <c r="E224" s="18"/>
    </row>
    <row r="225" spans="1:5" x14ac:dyDescent="0.25">
      <c r="A225" s="16" t="s">
        <v>22</v>
      </c>
      <c r="B225" s="27">
        <v>2</v>
      </c>
      <c r="C225" s="28">
        <v>700</v>
      </c>
      <c r="D225" s="29">
        <f>B225*C225</f>
        <v>1400</v>
      </c>
      <c r="E225" s="18"/>
    </row>
    <row r="226" spans="1:5" x14ac:dyDescent="0.25">
      <c r="A226" s="16" t="s">
        <v>23</v>
      </c>
      <c r="B226" s="27">
        <v>16</v>
      </c>
      <c r="C226" s="28">
        <v>70</v>
      </c>
      <c r="D226" s="29">
        <f>B226*C226</f>
        <v>1120</v>
      </c>
      <c r="E226" s="18"/>
    </row>
    <row r="227" spans="1:5" x14ac:dyDescent="0.25">
      <c r="A227" s="16" t="s">
        <v>24</v>
      </c>
      <c r="B227" s="27">
        <v>0</v>
      </c>
      <c r="C227" s="28">
        <v>400</v>
      </c>
      <c r="D227" s="29">
        <f>B227*C227</f>
        <v>0</v>
      </c>
      <c r="E227" s="18"/>
    </row>
    <row r="228" spans="1:5" ht="15.75" thickBot="1" x14ac:dyDescent="0.3">
      <c r="A228" s="25" t="s">
        <v>25</v>
      </c>
      <c r="B228" s="30">
        <v>2</v>
      </c>
      <c r="C228" s="31">
        <v>100</v>
      </c>
      <c r="D228" s="32">
        <f>B228*C228</f>
        <v>200</v>
      </c>
      <c r="E228" s="12"/>
    </row>
    <row r="229" spans="1:5" ht="16.5" thickTop="1" thickBot="1" x14ac:dyDescent="0.3">
      <c r="A229" s="33" t="s">
        <v>26</v>
      </c>
      <c r="B229" s="33"/>
      <c r="C229" s="34"/>
      <c r="D229" s="35"/>
      <c r="E229" s="36">
        <f>SUM(D224:D228)</f>
        <v>3500</v>
      </c>
    </row>
    <row r="230" spans="1:5" x14ac:dyDescent="0.25">
      <c r="A230" s="13" t="s">
        <v>27</v>
      </c>
      <c r="B230" s="13"/>
      <c r="C230" s="13"/>
      <c r="D230" s="37"/>
      <c r="E230" s="38">
        <v>25</v>
      </c>
    </row>
    <row r="231" spans="1:5" x14ac:dyDescent="0.25">
      <c r="A231" s="16" t="s">
        <v>28</v>
      </c>
      <c r="B231" s="16"/>
      <c r="C231" s="16"/>
      <c r="D231" s="29"/>
      <c r="E231" s="39">
        <f>E223+E229+E230</f>
        <v>4661.7010416666672</v>
      </c>
    </row>
    <row r="232" spans="1:5" ht="15.75" thickBot="1" x14ac:dyDescent="0.3">
      <c r="A232" s="9" t="s">
        <v>29</v>
      </c>
      <c r="B232" s="40">
        <v>0.27</v>
      </c>
      <c r="C232" s="41"/>
      <c r="D232" s="42"/>
      <c r="E232" s="21">
        <f>E231*B232</f>
        <v>1258.6592812500003</v>
      </c>
    </row>
    <row r="233" spans="1:5" x14ac:dyDescent="0.25">
      <c r="A233" s="16" t="s">
        <v>30</v>
      </c>
      <c r="B233" s="43"/>
      <c r="C233" s="16"/>
      <c r="D233" s="29"/>
      <c r="E233" s="24">
        <f>SUM(E231:E232)</f>
        <v>5920.3603229166674</v>
      </c>
    </row>
    <row r="234" spans="1:5" x14ac:dyDescent="0.25">
      <c r="A234" s="16" t="s">
        <v>31</v>
      </c>
      <c r="B234" s="44">
        <v>0.15</v>
      </c>
      <c r="C234" s="16"/>
      <c r="D234" s="16"/>
      <c r="E234" s="24">
        <f>E233*B234</f>
        <v>888.05404843750011</v>
      </c>
    </row>
    <row r="235" spans="1:5" x14ac:dyDescent="0.25">
      <c r="A235" s="45" t="s">
        <v>32</v>
      </c>
      <c r="B235" s="45"/>
      <c r="C235" s="45"/>
      <c r="D235" s="45"/>
      <c r="E235" s="46">
        <f>SUM(E233:E234)</f>
        <v>6808.4143713541671</v>
      </c>
    </row>
  </sheetData>
  <mergeCells count="35">
    <mergeCell ref="B1:D1"/>
    <mergeCell ref="E1:I1"/>
    <mergeCell ref="B2:D2"/>
    <mergeCell ref="E2:I2"/>
    <mergeCell ref="B3:D3"/>
    <mergeCell ref="E3:I3"/>
    <mergeCell ref="B4:D4"/>
    <mergeCell ref="E4:I4"/>
    <mergeCell ref="B5:D5"/>
    <mergeCell ref="E5:I5"/>
    <mergeCell ref="B6:D6"/>
    <mergeCell ref="E6:I6"/>
    <mergeCell ref="B7:D7"/>
    <mergeCell ref="E7:I7"/>
    <mergeCell ref="B8:F8"/>
    <mergeCell ref="I8:J8"/>
    <mergeCell ref="K8:M8"/>
    <mergeCell ref="T8:V8"/>
    <mergeCell ref="W8:Y8"/>
    <mergeCell ref="Z8:AD8"/>
    <mergeCell ref="AE8:AG8"/>
    <mergeCell ref="K66:L66"/>
    <mergeCell ref="AE66:AF66"/>
    <mergeCell ref="N8:S8"/>
    <mergeCell ref="K67:L67"/>
    <mergeCell ref="T67:U67"/>
    <mergeCell ref="W67:X67"/>
    <mergeCell ref="C68:D68"/>
    <mergeCell ref="K68:L68"/>
    <mergeCell ref="N68:Y68"/>
    <mergeCell ref="B208:E208"/>
    <mergeCell ref="B209:E209"/>
    <mergeCell ref="B210:E210"/>
    <mergeCell ref="B211:E211"/>
    <mergeCell ref="Z68:AD6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C66B-DD07-4EC8-9472-2EFA6A513E91}">
  <dimension ref="A1:AG249"/>
  <sheetViews>
    <sheetView topLeftCell="A209" workbookViewId="0">
      <selection activeCell="C228" sqref="C228"/>
    </sheetView>
  </sheetViews>
  <sheetFormatPr defaultRowHeight="15" x14ac:dyDescent="0.25"/>
  <cols>
    <col min="1" max="1" width="31.85546875" bestFit="1" customWidth="1"/>
    <col min="2" max="2" width="11.5703125" bestFit="1" customWidth="1"/>
    <col min="3" max="3" width="10.5703125" bestFit="1" customWidth="1"/>
    <col min="4" max="4" width="12.5703125" bestFit="1" customWidth="1"/>
    <col min="5" max="5" width="11.5703125" bestFit="1" customWidth="1"/>
    <col min="6" max="6" width="10.5703125" bestFit="1" customWidth="1"/>
    <col min="7" max="7" width="10.140625" customWidth="1"/>
    <col min="8" max="8" width="10.85546875" bestFit="1" customWidth="1"/>
    <col min="16" max="16" width="6.7109375" bestFit="1" customWidth="1"/>
    <col min="17" max="17" width="11" customWidth="1"/>
    <col min="18" max="18" width="10.7109375" bestFit="1" customWidth="1"/>
    <col min="21" max="21" width="11.28515625" customWidth="1"/>
    <col min="23" max="23" width="9.140625" hidden="1" customWidth="1"/>
    <col min="24" max="24" width="14" hidden="1" customWidth="1"/>
    <col min="25" max="25" width="9.140625" hidden="1" customWidth="1"/>
    <col min="28" max="28" width="10.140625" bestFit="1" customWidth="1"/>
    <col min="29" max="29" width="6.85546875" bestFit="1" customWidth="1"/>
    <col min="31" max="31" width="12.28515625" customWidth="1"/>
    <col min="32" max="32" width="15.140625" bestFit="1" customWidth="1"/>
  </cols>
  <sheetData>
    <row r="1" spans="1:33" ht="16.5" thickBot="1" x14ac:dyDescent="0.3">
      <c r="A1" s="1" t="s">
        <v>0</v>
      </c>
      <c r="B1" s="395" t="s">
        <v>235</v>
      </c>
      <c r="C1" s="395"/>
      <c r="D1" s="396"/>
      <c r="E1" s="397" t="s">
        <v>44</v>
      </c>
      <c r="F1" s="398"/>
      <c r="G1" s="398"/>
      <c r="H1" s="398"/>
      <c r="I1" s="399"/>
    </row>
    <row r="2" spans="1:33" ht="15.75" x14ac:dyDescent="0.25">
      <c r="A2" s="1" t="s">
        <v>1</v>
      </c>
      <c r="B2" s="395" t="s">
        <v>100</v>
      </c>
      <c r="C2" s="395"/>
      <c r="D2" s="396"/>
      <c r="E2" s="400" t="s">
        <v>263</v>
      </c>
      <c r="F2" s="401"/>
      <c r="G2" s="401"/>
      <c r="H2" s="401"/>
      <c r="I2" s="402"/>
    </row>
    <row r="3" spans="1:33" ht="15.75" x14ac:dyDescent="0.25">
      <c r="A3" s="2" t="s">
        <v>45</v>
      </c>
      <c r="B3" s="396"/>
      <c r="C3" s="403"/>
      <c r="D3" s="403"/>
      <c r="E3" s="390"/>
      <c r="F3" s="391"/>
      <c r="G3" s="391"/>
      <c r="H3" s="391"/>
      <c r="I3" s="392"/>
    </row>
    <row r="4" spans="1:33" ht="15.75" x14ac:dyDescent="0.25">
      <c r="A4" s="2" t="s">
        <v>2</v>
      </c>
      <c r="B4" s="388">
        <v>45663</v>
      </c>
      <c r="C4" s="388"/>
      <c r="D4" s="389"/>
      <c r="E4" s="390"/>
      <c r="F4" s="391"/>
      <c r="G4" s="391"/>
      <c r="H4" s="391"/>
      <c r="I4" s="392"/>
    </row>
    <row r="5" spans="1:33" ht="15.75" x14ac:dyDescent="0.25">
      <c r="A5" s="70" t="s">
        <v>46</v>
      </c>
      <c r="B5" s="393"/>
      <c r="C5" s="394"/>
      <c r="D5" s="394"/>
      <c r="E5" s="390"/>
      <c r="F5" s="391"/>
      <c r="G5" s="391"/>
      <c r="H5" s="391"/>
      <c r="I5" s="392"/>
      <c r="L5" t="s">
        <v>264</v>
      </c>
    </row>
    <row r="6" spans="1:33" ht="15.75" x14ac:dyDescent="0.25">
      <c r="A6" s="70" t="s">
        <v>47</v>
      </c>
      <c r="B6" s="393" t="s">
        <v>101</v>
      </c>
      <c r="C6" s="394"/>
      <c r="D6" s="394"/>
      <c r="E6" s="390"/>
      <c r="F6" s="391"/>
      <c r="G6" s="391"/>
      <c r="H6" s="391"/>
      <c r="I6" s="392"/>
    </row>
    <row r="7" spans="1:33" ht="16.5" thickBot="1" x14ac:dyDescent="0.3">
      <c r="A7" s="71" t="s">
        <v>8</v>
      </c>
      <c r="B7" s="376">
        <v>8647</v>
      </c>
      <c r="C7" s="377"/>
      <c r="D7" s="377"/>
      <c r="E7" s="378"/>
      <c r="F7" s="379"/>
      <c r="G7" s="379"/>
      <c r="H7" s="379"/>
      <c r="I7" s="380"/>
    </row>
    <row r="8" spans="1:33" ht="15.75" thickBot="1" x14ac:dyDescent="0.3">
      <c r="A8" s="72" t="s">
        <v>48</v>
      </c>
      <c r="B8" s="381" t="s">
        <v>49</v>
      </c>
      <c r="C8" s="382"/>
      <c r="D8" s="382"/>
      <c r="E8" s="382"/>
      <c r="F8" s="383"/>
      <c r="G8" s="73"/>
      <c r="H8" s="73"/>
      <c r="I8" s="384" t="s">
        <v>50</v>
      </c>
      <c r="J8" s="385"/>
      <c r="K8" s="386" t="s">
        <v>51</v>
      </c>
      <c r="L8" s="387"/>
      <c r="M8" s="387"/>
      <c r="N8" s="367" t="s">
        <v>52</v>
      </c>
      <c r="O8" s="367"/>
      <c r="P8" s="367"/>
      <c r="Q8" s="368"/>
      <c r="R8" s="367"/>
      <c r="S8" s="369"/>
      <c r="T8" s="370" t="s">
        <v>124</v>
      </c>
      <c r="U8" s="367"/>
      <c r="V8" s="367"/>
      <c r="W8" s="370" t="s">
        <v>53</v>
      </c>
      <c r="X8" s="367"/>
      <c r="Y8" s="369"/>
      <c r="Z8" s="371" t="s">
        <v>54</v>
      </c>
      <c r="AA8" s="372"/>
      <c r="AB8" s="372"/>
      <c r="AC8" s="372"/>
      <c r="AD8" s="373"/>
      <c r="AE8" s="374" t="s">
        <v>55</v>
      </c>
      <c r="AF8" s="374"/>
      <c r="AG8" s="375"/>
    </row>
    <row r="9" spans="1:33" ht="45.75" thickBot="1" x14ac:dyDescent="0.3">
      <c r="A9" s="75" t="s">
        <v>56</v>
      </c>
      <c r="B9" s="76" t="s">
        <v>57</v>
      </c>
      <c r="C9" s="77" t="s">
        <v>58</v>
      </c>
      <c r="D9" s="78" t="s">
        <v>59</v>
      </c>
      <c r="E9" s="79" t="s">
        <v>60</v>
      </c>
      <c r="F9" s="79" t="s">
        <v>61</v>
      </c>
      <c r="G9" s="210" t="s">
        <v>107</v>
      </c>
      <c r="H9" s="80" t="s">
        <v>62</v>
      </c>
      <c r="I9" s="81" t="s">
        <v>63</v>
      </c>
      <c r="J9" s="82" t="s">
        <v>64</v>
      </c>
      <c r="K9" s="83" t="s">
        <v>65</v>
      </c>
      <c r="L9" s="84" t="s">
        <v>66</v>
      </c>
      <c r="M9" s="85" t="s">
        <v>67</v>
      </c>
      <c r="N9" s="317" t="s">
        <v>206</v>
      </c>
      <c r="O9" s="317" t="s">
        <v>207</v>
      </c>
      <c r="P9" s="86" t="s">
        <v>104</v>
      </c>
      <c r="Q9" s="207" t="s">
        <v>105</v>
      </c>
      <c r="R9" s="208" t="s">
        <v>106</v>
      </c>
      <c r="S9" s="216" t="s">
        <v>68</v>
      </c>
      <c r="T9" s="87" t="s">
        <v>69</v>
      </c>
      <c r="U9" s="87" t="s">
        <v>70</v>
      </c>
      <c r="V9" s="74" t="s">
        <v>71</v>
      </c>
      <c r="W9" s="87" t="s">
        <v>72</v>
      </c>
      <c r="X9" s="87" t="s">
        <v>73</v>
      </c>
      <c r="Y9" s="87" t="s">
        <v>74</v>
      </c>
      <c r="Z9" s="88" t="s">
        <v>75</v>
      </c>
      <c r="AA9" s="89" t="s">
        <v>76</v>
      </c>
      <c r="AB9" s="206" t="s">
        <v>103</v>
      </c>
      <c r="AC9" s="215" t="s">
        <v>121</v>
      </c>
      <c r="AD9" s="335" t="s">
        <v>77</v>
      </c>
      <c r="AE9" s="90" t="s">
        <v>69</v>
      </c>
      <c r="AF9" s="91" t="s">
        <v>70</v>
      </c>
      <c r="AG9" s="92" t="s">
        <v>55</v>
      </c>
    </row>
    <row r="10" spans="1:33" x14ac:dyDescent="0.25">
      <c r="A10" s="93" t="s">
        <v>236</v>
      </c>
      <c r="B10" s="94">
        <v>36.5</v>
      </c>
      <c r="C10" s="95">
        <v>2</v>
      </c>
      <c r="D10" s="96">
        <f t="shared" ref="D10:D31" si="0">B10*C10</f>
        <v>73</v>
      </c>
      <c r="E10" s="97"/>
      <c r="F10" s="340">
        <f t="shared" ref="F10:F31" si="1">C10*E10</f>
        <v>0</v>
      </c>
      <c r="G10" s="341" t="s">
        <v>108</v>
      </c>
      <c r="H10" s="98"/>
      <c r="I10" s="99">
        <f>B10</f>
        <v>36.5</v>
      </c>
      <c r="J10" s="100"/>
      <c r="K10" s="101"/>
      <c r="L10" s="102"/>
      <c r="M10" s="103">
        <f>K10*L10</f>
        <v>0</v>
      </c>
      <c r="N10" s="104"/>
      <c r="O10" s="318"/>
      <c r="P10" s="105">
        <v>36.5</v>
      </c>
      <c r="Q10" s="106"/>
      <c r="R10" s="105"/>
      <c r="S10" s="105"/>
      <c r="T10" s="107"/>
      <c r="U10" s="108"/>
      <c r="V10" s="109">
        <f t="shared" ref="V10:V31" si="2">T10*U10</f>
        <v>0</v>
      </c>
      <c r="W10" s="110"/>
      <c r="X10" s="110"/>
      <c r="Y10" s="111">
        <f>W10*X10</f>
        <v>0</v>
      </c>
      <c r="Z10" s="112"/>
      <c r="AA10" s="113"/>
      <c r="AB10" s="113"/>
      <c r="AC10" s="114"/>
      <c r="AD10" s="336"/>
      <c r="AE10" s="115"/>
      <c r="AF10" s="116"/>
      <c r="AG10" s="117">
        <f t="shared" ref="AG10:AG31" si="3">AE10*AF10</f>
        <v>0</v>
      </c>
    </row>
    <row r="11" spans="1:33" x14ac:dyDescent="0.25">
      <c r="A11" s="273" t="s">
        <v>237</v>
      </c>
      <c r="B11" s="94"/>
      <c r="C11" s="95"/>
      <c r="D11" s="96">
        <f>B11*C11-H11</f>
        <v>0</v>
      </c>
      <c r="E11" s="97"/>
      <c r="F11" s="211">
        <f t="shared" si="1"/>
        <v>0</v>
      </c>
      <c r="G11" s="341" t="s">
        <v>108</v>
      </c>
      <c r="H11" s="118"/>
      <c r="I11" s="99">
        <f t="shared" ref="I11:I31" si="4">B11</f>
        <v>0</v>
      </c>
      <c r="J11" s="93"/>
      <c r="K11" s="119"/>
      <c r="L11" s="120"/>
      <c r="M11" s="121">
        <f t="shared" ref="M11:M31" si="5">K11*L11</f>
        <v>0</v>
      </c>
      <c r="N11" s="104"/>
      <c r="O11" s="318"/>
      <c r="P11" s="105"/>
      <c r="Q11" s="106"/>
      <c r="R11" s="105"/>
      <c r="S11" s="105"/>
      <c r="T11" s="122"/>
      <c r="U11" s="123"/>
      <c r="V11" s="105">
        <f t="shared" si="2"/>
        <v>0</v>
      </c>
      <c r="W11" s="123"/>
      <c r="X11" s="123"/>
      <c r="Y11" s="124">
        <f t="shared" ref="Y11:Y31" si="6">W11*X11</f>
        <v>0</v>
      </c>
      <c r="Z11" s="112"/>
      <c r="AA11" s="113"/>
      <c r="AB11" s="113"/>
      <c r="AC11" s="114"/>
      <c r="AD11" s="336"/>
      <c r="AE11" s="115"/>
      <c r="AF11" s="116"/>
      <c r="AG11" s="117">
        <f t="shared" si="3"/>
        <v>0</v>
      </c>
    </row>
    <row r="12" spans="1:33" x14ac:dyDescent="0.25">
      <c r="A12" s="273" t="s">
        <v>238</v>
      </c>
      <c r="B12" s="94"/>
      <c r="C12" s="95"/>
      <c r="D12" s="96">
        <f t="shared" si="0"/>
        <v>0</v>
      </c>
      <c r="E12" s="97"/>
      <c r="F12" s="211">
        <f t="shared" si="1"/>
        <v>0</v>
      </c>
      <c r="G12" s="341" t="s">
        <v>108</v>
      </c>
      <c r="H12" s="118"/>
      <c r="I12" s="99">
        <f t="shared" si="4"/>
        <v>0</v>
      </c>
      <c r="J12" s="93"/>
      <c r="K12" s="119"/>
      <c r="L12" s="120"/>
      <c r="M12" s="121">
        <f t="shared" si="5"/>
        <v>0</v>
      </c>
      <c r="N12" s="104"/>
      <c r="O12" s="318"/>
      <c r="P12" s="105"/>
      <c r="Q12" s="106"/>
      <c r="R12" s="105"/>
      <c r="S12" s="105"/>
      <c r="T12" s="122"/>
      <c r="U12" s="123"/>
      <c r="V12" s="105">
        <f t="shared" si="2"/>
        <v>0</v>
      </c>
      <c r="W12" s="123"/>
      <c r="X12" s="123"/>
      <c r="Y12" s="124"/>
      <c r="Z12" s="112"/>
      <c r="AA12" s="113"/>
      <c r="AB12" s="113"/>
      <c r="AC12" s="114"/>
      <c r="AD12" s="336"/>
      <c r="AE12" s="115"/>
      <c r="AF12" s="116"/>
      <c r="AG12" s="117"/>
    </row>
    <row r="13" spans="1:33" x14ac:dyDescent="0.25">
      <c r="A13" s="93" t="s">
        <v>239</v>
      </c>
      <c r="B13" s="94">
        <v>3</v>
      </c>
      <c r="C13" s="95">
        <v>2.5</v>
      </c>
      <c r="D13" s="96">
        <f>B13*C13-H13</f>
        <v>7.5</v>
      </c>
      <c r="E13" s="97"/>
      <c r="F13" s="211">
        <f t="shared" si="1"/>
        <v>0</v>
      </c>
      <c r="G13" s="341" t="s">
        <v>108</v>
      </c>
      <c r="H13" s="118"/>
      <c r="I13" s="99">
        <f t="shared" si="4"/>
        <v>3</v>
      </c>
      <c r="J13" s="93"/>
      <c r="K13" s="119"/>
      <c r="L13" s="120"/>
      <c r="M13" s="121">
        <f t="shared" si="5"/>
        <v>0</v>
      </c>
      <c r="N13" s="104"/>
      <c r="O13" s="318"/>
      <c r="P13" s="105">
        <v>3</v>
      </c>
      <c r="Q13" s="106"/>
      <c r="R13" s="105"/>
      <c r="S13" s="105"/>
      <c r="T13" s="122"/>
      <c r="U13" s="123"/>
      <c r="V13" s="105">
        <f t="shared" si="2"/>
        <v>0</v>
      </c>
      <c r="W13" s="123"/>
      <c r="X13" s="123"/>
      <c r="Y13" s="124">
        <f t="shared" si="6"/>
        <v>0</v>
      </c>
      <c r="Z13" s="112"/>
      <c r="AA13" s="113"/>
      <c r="AB13" s="113"/>
      <c r="AC13" s="114"/>
      <c r="AD13" s="336"/>
      <c r="AE13" s="115"/>
      <c r="AF13" s="116"/>
      <c r="AG13" s="117">
        <f t="shared" si="3"/>
        <v>0</v>
      </c>
    </row>
    <row r="14" spans="1:33" x14ac:dyDescent="0.25">
      <c r="A14" s="93" t="s">
        <v>240</v>
      </c>
      <c r="B14" s="94">
        <v>24</v>
      </c>
      <c r="C14" s="95">
        <v>3.5</v>
      </c>
      <c r="D14" s="96">
        <f t="shared" si="0"/>
        <v>84</v>
      </c>
      <c r="E14" s="97"/>
      <c r="F14" s="211">
        <f t="shared" si="1"/>
        <v>0</v>
      </c>
      <c r="G14" s="341" t="s">
        <v>108</v>
      </c>
      <c r="H14" s="118"/>
      <c r="I14" s="99">
        <f t="shared" si="4"/>
        <v>24</v>
      </c>
      <c r="J14" s="93"/>
      <c r="K14" s="119"/>
      <c r="L14" s="120"/>
      <c r="M14" s="121">
        <f t="shared" si="5"/>
        <v>0</v>
      </c>
      <c r="N14" s="104"/>
      <c r="O14" s="318"/>
      <c r="P14" s="105">
        <v>26</v>
      </c>
      <c r="Q14" s="106"/>
      <c r="R14" s="105"/>
      <c r="S14" s="105"/>
      <c r="T14" s="122"/>
      <c r="U14" s="123"/>
      <c r="V14" s="105">
        <f t="shared" si="2"/>
        <v>0</v>
      </c>
      <c r="W14" s="123"/>
      <c r="X14" s="123"/>
      <c r="Y14" s="124">
        <f t="shared" si="6"/>
        <v>0</v>
      </c>
      <c r="Z14" s="112"/>
      <c r="AA14" s="113"/>
      <c r="AB14" s="113"/>
      <c r="AC14" s="114"/>
      <c r="AD14" s="336"/>
      <c r="AE14" s="115"/>
      <c r="AF14" s="116"/>
      <c r="AG14" s="117">
        <f t="shared" si="3"/>
        <v>0</v>
      </c>
    </row>
    <row r="15" spans="1:33" x14ac:dyDescent="0.25">
      <c r="A15" s="93" t="s">
        <v>241</v>
      </c>
      <c r="B15" s="94">
        <v>14</v>
      </c>
      <c r="C15" s="95">
        <v>3</v>
      </c>
      <c r="D15" s="96">
        <f t="shared" si="0"/>
        <v>42</v>
      </c>
      <c r="E15" s="97"/>
      <c r="F15" s="211">
        <f t="shared" si="1"/>
        <v>0</v>
      </c>
      <c r="G15" s="341" t="s">
        <v>108</v>
      </c>
      <c r="H15" s="118"/>
      <c r="I15" s="99">
        <f t="shared" si="4"/>
        <v>14</v>
      </c>
      <c r="J15" s="93"/>
      <c r="K15" s="119"/>
      <c r="L15" s="120"/>
      <c r="M15" s="121">
        <f t="shared" si="5"/>
        <v>0</v>
      </c>
      <c r="N15" s="104"/>
      <c r="O15" s="318"/>
      <c r="P15" s="105">
        <v>14</v>
      </c>
      <c r="Q15" s="106"/>
      <c r="R15" s="105"/>
      <c r="S15" s="105"/>
      <c r="T15" s="122"/>
      <c r="U15" s="123"/>
      <c r="V15" s="105">
        <f t="shared" si="2"/>
        <v>0</v>
      </c>
      <c r="W15" s="123"/>
      <c r="X15" s="123"/>
      <c r="Y15" s="124">
        <f t="shared" si="6"/>
        <v>0</v>
      </c>
      <c r="Z15" s="112"/>
      <c r="AA15" s="113"/>
      <c r="AB15" s="113"/>
      <c r="AC15" s="114"/>
      <c r="AD15" s="336"/>
      <c r="AE15" s="115"/>
      <c r="AF15" s="116"/>
      <c r="AG15" s="117">
        <f t="shared" si="3"/>
        <v>0</v>
      </c>
    </row>
    <row r="16" spans="1:33" x14ac:dyDescent="0.25">
      <c r="A16" s="93" t="s">
        <v>242</v>
      </c>
      <c r="B16" s="94">
        <v>14.5</v>
      </c>
      <c r="C16" s="95">
        <v>1.5</v>
      </c>
      <c r="D16" s="96">
        <f t="shared" si="0"/>
        <v>21.75</v>
      </c>
      <c r="E16" s="97"/>
      <c r="F16" s="211">
        <f t="shared" si="1"/>
        <v>0</v>
      </c>
      <c r="G16" s="341" t="s">
        <v>108</v>
      </c>
      <c r="H16" s="118"/>
      <c r="I16" s="99">
        <f t="shared" si="4"/>
        <v>14.5</v>
      </c>
      <c r="J16" s="93"/>
      <c r="K16" s="119"/>
      <c r="L16" s="120"/>
      <c r="M16" s="121">
        <f t="shared" si="5"/>
        <v>0</v>
      </c>
      <c r="N16" s="104"/>
      <c r="O16" s="318"/>
      <c r="P16" s="105"/>
      <c r="Q16" s="106"/>
      <c r="R16" s="105"/>
      <c r="S16" s="105"/>
      <c r="T16" s="122">
        <v>15</v>
      </c>
      <c r="U16" s="123">
        <v>1.25</v>
      </c>
      <c r="V16" s="105">
        <f t="shared" si="2"/>
        <v>18.75</v>
      </c>
      <c r="W16" s="123"/>
      <c r="X16" s="123"/>
      <c r="Y16" s="124">
        <f t="shared" si="6"/>
        <v>0</v>
      </c>
      <c r="Z16" s="112"/>
      <c r="AA16" s="113"/>
      <c r="AB16" s="113"/>
      <c r="AC16" s="114"/>
      <c r="AD16" s="336"/>
      <c r="AE16" s="115"/>
      <c r="AF16" s="116"/>
      <c r="AG16" s="117">
        <f t="shared" si="3"/>
        <v>0</v>
      </c>
    </row>
    <row r="17" spans="1:33" x14ac:dyDescent="0.25">
      <c r="A17" s="93" t="s">
        <v>242</v>
      </c>
      <c r="B17" s="94">
        <v>24</v>
      </c>
      <c r="C17" s="95">
        <v>1.5</v>
      </c>
      <c r="D17" s="96">
        <f t="shared" si="0"/>
        <v>36</v>
      </c>
      <c r="E17" s="97"/>
      <c r="F17" s="211">
        <f t="shared" si="1"/>
        <v>0</v>
      </c>
      <c r="G17" s="341" t="s">
        <v>108</v>
      </c>
      <c r="H17" s="118"/>
      <c r="I17" s="99">
        <f t="shared" si="4"/>
        <v>24</v>
      </c>
      <c r="J17" s="93"/>
      <c r="K17" s="119"/>
      <c r="L17" s="120"/>
      <c r="M17" s="121">
        <f t="shared" si="5"/>
        <v>0</v>
      </c>
      <c r="N17" s="104"/>
      <c r="O17" s="318"/>
      <c r="P17" s="105"/>
      <c r="Q17" s="106"/>
      <c r="R17" s="105"/>
      <c r="S17" s="105"/>
      <c r="T17" s="122">
        <v>24</v>
      </c>
      <c r="U17" s="123">
        <v>1.25</v>
      </c>
      <c r="V17" s="105">
        <f t="shared" si="2"/>
        <v>30</v>
      </c>
      <c r="W17" s="123"/>
      <c r="X17" s="123"/>
      <c r="Y17" s="124">
        <f t="shared" si="6"/>
        <v>0</v>
      </c>
      <c r="Z17" s="112"/>
      <c r="AA17" s="113"/>
      <c r="AB17" s="113"/>
      <c r="AC17" s="114"/>
      <c r="AD17" s="336"/>
      <c r="AE17" s="115"/>
      <c r="AF17" s="116"/>
      <c r="AG17" s="117">
        <f t="shared" si="3"/>
        <v>0</v>
      </c>
    </row>
    <row r="18" spans="1:33" x14ac:dyDescent="0.25">
      <c r="A18" s="93" t="s">
        <v>242</v>
      </c>
      <c r="B18" s="94">
        <v>14</v>
      </c>
      <c r="C18" s="95">
        <v>1.5</v>
      </c>
      <c r="D18" s="96">
        <f t="shared" si="0"/>
        <v>21</v>
      </c>
      <c r="E18" s="97"/>
      <c r="F18" s="211">
        <f t="shared" si="1"/>
        <v>0</v>
      </c>
      <c r="G18" s="341" t="s">
        <v>108</v>
      </c>
      <c r="H18" s="118"/>
      <c r="I18" s="99">
        <f t="shared" si="4"/>
        <v>14</v>
      </c>
      <c r="J18" s="93"/>
      <c r="K18" s="119"/>
      <c r="L18" s="120"/>
      <c r="M18" s="121">
        <f t="shared" si="5"/>
        <v>0</v>
      </c>
      <c r="N18" s="104"/>
      <c r="O18" s="318"/>
      <c r="P18" s="105"/>
      <c r="Q18" s="106"/>
      <c r="R18" s="105"/>
      <c r="S18" s="105"/>
      <c r="T18" s="122">
        <v>14</v>
      </c>
      <c r="U18" s="123">
        <v>1.25</v>
      </c>
      <c r="V18" s="105">
        <f t="shared" si="2"/>
        <v>17.5</v>
      </c>
      <c r="W18" s="123"/>
      <c r="X18" s="123"/>
      <c r="Y18" s="124">
        <f t="shared" si="6"/>
        <v>0</v>
      </c>
      <c r="Z18" s="112"/>
      <c r="AA18" s="113"/>
      <c r="AB18" s="113"/>
      <c r="AC18" s="114"/>
      <c r="AD18" s="336"/>
      <c r="AE18" s="115"/>
      <c r="AF18" s="116"/>
      <c r="AG18" s="117">
        <f t="shared" si="3"/>
        <v>0</v>
      </c>
    </row>
    <row r="19" spans="1:33" x14ac:dyDescent="0.25">
      <c r="A19" s="273" t="s">
        <v>244</v>
      </c>
      <c r="B19" s="94"/>
      <c r="C19" s="95"/>
      <c r="D19" s="96">
        <f t="shared" si="0"/>
        <v>0</v>
      </c>
      <c r="E19" s="97"/>
      <c r="F19" s="211">
        <f t="shared" si="1"/>
        <v>0</v>
      </c>
      <c r="G19" s="341" t="s">
        <v>108</v>
      </c>
      <c r="H19" s="118"/>
      <c r="I19" s="99">
        <f t="shared" si="4"/>
        <v>0</v>
      </c>
      <c r="J19" s="93"/>
      <c r="K19" s="119"/>
      <c r="L19" s="120"/>
      <c r="M19" s="121">
        <f t="shared" si="5"/>
        <v>0</v>
      </c>
      <c r="N19" s="104"/>
      <c r="O19" s="318"/>
      <c r="P19" s="105"/>
      <c r="Q19" s="106"/>
      <c r="R19" s="105"/>
      <c r="S19" s="105"/>
      <c r="T19" s="122"/>
      <c r="U19" s="123"/>
      <c r="V19" s="105">
        <f t="shared" si="2"/>
        <v>0</v>
      </c>
      <c r="W19" s="123"/>
      <c r="X19" s="123"/>
      <c r="Y19" s="124">
        <f t="shared" si="6"/>
        <v>0</v>
      </c>
      <c r="Z19" s="112"/>
      <c r="AA19" s="113"/>
      <c r="AB19" s="113"/>
      <c r="AC19" s="114"/>
      <c r="AD19" s="336"/>
      <c r="AE19" s="115"/>
      <c r="AF19" s="116"/>
      <c r="AG19" s="117">
        <f t="shared" si="3"/>
        <v>0</v>
      </c>
    </row>
    <row r="20" spans="1:33" x14ac:dyDescent="0.25">
      <c r="A20" s="273" t="s">
        <v>243</v>
      </c>
      <c r="B20" s="94"/>
      <c r="C20" s="95"/>
      <c r="D20" s="96">
        <f t="shared" si="0"/>
        <v>0</v>
      </c>
      <c r="E20" s="97"/>
      <c r="F20" s="211">
        <f t="shared" si="1"/>
        <v>0</v>
      </c>
      <c r="G20" s="341" t="s">
        <v>108</v>
      </c>
      <c r="H20" s="118"/>
      <c r="I20" s="99">
        <f t="shared" si="4"/>
        <v>0</v>
      </c>
      <c r="J20" s="93"/>
      <c r="K20" s="119"/>
      <c r="L20" s="120"/>
      <c r="M20" s="121">
        <f t="shared" si="5"/>
        <v>0</v>
      </c>
      <c r="N20" s="104"/>
      <c r="O20" s="318"/>
      <c r="P20" s="105"/>
      <c r="Q20" s="106"/>
      <c r="R20" s="105"/>
      <c r="S20" s="105"/>
      <c r="T20" s="122"/>
      <c r="U20" s="123"/>
      <c r="V20" s="105">
        <f t="shared" si="2"/>
        <v>0</v>
      </c>
      <c r="W20" s="123"/>
      <c r="X20" s="123"/>
      <c r="Y20" s="124">
        <f t="shared" si="6"/>
        <v>0</v>
      </c>
      <c r="Z20" s="112"/>
      <c r="AA20" s="113"/>
      <c r="AB20" s="113"/>
      <c r="AC20" s="114"/>
      <c r="AD20" s="336"/>
      <c r="AE20" s="115"/>
      <c r="AF20" s="116"/>
      <c r="AG20" s="117">
        <f t="shared" si="3"/>
        <v>0</v>
      </c>
    </row>
    <row r="21" spans="1:33" x14ac:dyDescent="0.25">
      <c r="A21" s="273" t="s">
        <v>243</v>
      </c>
      <c r="B21" s="94"/>
      <c r="C21" s="95"/>
      <c r="D21" s="96">
        <f t="shared" si="0"/>
        <v>0</v>
      </c>
      <c r="E21" s="97"/>
      <c r="F21" s="211">
        <f t="shared" si="1"/>
        <v>0</v>
      </c>
      <c r="G21" s="341" t="s">
        <v>108</v>
      </c>
      <c r="H21" s="118"/>
      <c r="I21" s="99">
        <f t="shared" si="4"/>
        <v>0</v>
      </c>
      <c r="J21" s="93"/>
      <c r="K21" s="119"/>
      <c r="L21" s="120"/>
      <c r="M21" s="121">
        <f t="shared" si="5"/>
        <v>0</v>
      </c>
      <c r="N21" s="104"/>
      <c r="O21" s="318"/>
      <c r="P21" s="105"/>
      <c r="Q21" s="106"/>
      <c r="R21" s="105"/>
      <c r="S21" s="105"/>
      <c r="T21" s="122"/>
      <c r="U21" s="123"/>
      <c r="V21" s="105">
        <f t="shared" si="2"/>
        <v>0</v>
      </c>
      <c r="W21" s="123"/>
      <c r="X21" s="123"/>
      <c r="Y21" s="124">
        <f t="shared" si="6"/>
        <v>0</v>
      </c>
      <c r="Z21" s="112"/>
      <c r="AA21" s="113"/>
      <c r="AB21" s="113"/>
      <c r="AC21" s="114"/>
      <c r="AD21" s="336"/>
      <c r="AE21" s="115"/>
      <c r="AF21" s="116"/>
      <c r="AG21" s="117">
        <f t="shared" si="3"/>
        <v>0</v>
      </c>
    </row>
    <row r="22" spans="1:33" x14ac:dyDescent="0.25">
      <c r="A22" s="273" t="s">
        <v>243</v>
      </c>
      <c r="B22" s="94"/>
      <c r="C22" s="95"/>
      <c r="D22" s="96">
        <f t="shared" si="0"/>
        <v>0</v>
      </c>
      <c r="E22" s="97"/>
      <c r="F22" s="211">
        <f t="shared" si="1"/>
        <v>0</v>
      </c>
      <c r="G22" s="341" t="s">
        <v>108</v>
      </c>
      <c r="H22" s="118"/>
      <c r="I22" s="99">
        <f t="shared" si="4"/>
        <v>0</v>
      </c>
      <c r="J22" s="93"/>
      <c r="K22" s="119"/>
      <c r="L22" s="120"/>
      <c r="M22" s="121">
        <f t="shared" si="5"/>
        <v>0</v>
      </c>
      <c r="N22" s="104"/>
      <c r="O22" s="318"/>
      <c r="P22" s="105"/>
      <c r="Q22" s="106"/>
      <c r="R22" s="105"/>
      <c r="S22" s="105"/>
      <c r="T22" s="122"/>
      <c r="U22" s="123"/>
      <c r="V22" s="105">
        <f t="shared" si="2"/>
        <v>0</v>
      </c>
      <c r="W22" s="123"/>
      <c r="X22" s="123"/>
      <c r="Y22" s="124">
        <f t="shared" si="6"/>
        <v>0</v>
      </c>
      <c r="Z22" s="112"/>
      <c r="AA22" s="113"/>
      <c r="AB22" s="113"/>
      <c r="AC22" s="114"/>
      <c r="AD22" s="336"/>
      <c r="AE22" s="115"/>
      <c r="AF22" s="116"/>
      <c r="AG22" s="117">
        <f t="shared" si="3"/>
        <v>0</v>
      </c>
    </row>
    <row r="23" spans="1:33" x14ac:dyDescent="0.25">
      <c r="A23" s="93" t="s">
        <v>246</v>
      </c>
      <c r="B23" s="94">
        <v>29</v>
      </c>
      <c r="C23" s="95">
        <v>2</v>
      </c>
      <c r="D23" s="96">
        <f t="shared" si="0"/>
        <v>58</v>
      </c>
      <c r="E23" s="97"/>
      <c r="F23" s="211">
        <f t="shared" si="1"/>
        <v>0</v>
      </c>
      <c r="G23" s="341" t="s">
        <v>108</v>
      </c>
      <c r="H23" s="118"/>
      <c r="I23" s="99">
        <f t="shared" si="4"/>
        <v>29</v>
      </c>
      <c r="J23" s="93"/>
      <c r="K23" s="119"/>
      <c r="L23" s="120"/>
      <c r="M23" s="121">
        <f t="shared" si="5"/>
        <v>0</v>
      </c>
      <c r="N23" s="104"/>
      <c r="O23" s="318"/>
      <c r="P23" s="105"/>
      <c r="Q23" s="106"/>
      <c r="R23" s="105"/>
      <c r="S23" s="105"/>
      <c r="T23" s="122"/>
      <c r="U23" s="123"/>
      <c r="V23" s="105">
        <f t="shared" si="2"/>
        <v>0</v>
      </c>
      <c r="W23" s="123"/>
      <c r="X23" s="123"/>
      <c r="Y23" s="124">
        <f t="shared" si="6"/>
        <v>0</v>
      </c>
      <c r="Z23" s="112"/>
      <c r="AA23" s="113"/>
      <c r="AB23" s="113"/>
      <c r="AC23" s="114"/>
      <c r="AD23" s="336"/>
      <c r="AE23" s="115"/>
      <c r="AF23" s="116"/>
      <c r="AG23" s="117">
        <f t="shared" si="3"/>
        <v>0</v>
      </c>
    </row>
    <row r="24" spans="1:33" x14ac:dyDescent="0.25">
      <c r="A24" s="93" t="s">
        <v>245</v>
      </c>
      <c r="B24" s="94">
        <v>42</v>
      </c>
      <c r="C24" s="95">
        <v>1</v>
      </c>
      <c r="D24" s="96">
        <f>B24*C24-H24</f>
        <v>42</v>
      </c>
      <c r="E24" s="97"/>
      <c r="F24" s="211">
        <f t="shared" si="1"/>
        <v>0</v>
      </c>
      <c r="G24" s="341" t="s">
        <v>108</v>
      </c>
      <c r="H24" s="118"/>
      <c r="I24" s="99">
        <f t="shared" si="4"/>
        <v>42</v>
      </c>
      <c r="J24" s="93"/>
      <c r="K24" s="119"/>
      <c r="L24" s="120"/>
      <c r="M24" s="121">
        <f t="shared" si="5"/>
        <v>0</v>
      </c>
      <c r="N24" s="104"/>
      <c r="O24" s="318"/>
      <c r="P24" s="105"/>
      <c r="Q24" s="106"/>
      <c r="R24" s="105"/>
      <c r="S24" s="105"/>
      <c r="T24" s="122"/>
      <c r="U24" s="123"/>
      <c r="V24" s="105">
        <f t="shared" si="2"/>
        <v>0</v>
      </c>
      <c r="W24" s="123"/>
      <c r="X24" s="123"/>
      <c r="Y24" s="124">
        <f t="shared" si="6"/>
        <v>0</v>
      </c>
      <c r="Z24" s="112"/>
      <c r="AA24" s="113"/>
      <c r="AB24" s="113"/>
      <c r="AC24" s="114"/>
      <c r="AD24" s="336"/>
      <c r="AE24" s="115"/>
      <c r="AF24" s="116"/>
      <c r="AG24" s="117">
        <f t="shared" si="3"/>
        <v>0</v>
      </c>
    </row>
    <row r="25" spans="1:33" x14ac:dyDescent="0.25">
      <c r="A25" s="273" t="s">
        <v>247</v>
      </c>
      <c r="B25" s="94"/>
      <c r="C25" s="95"/>
      <c r="D25" s="96">
        <f t="shared" si="0"/>
        <v>0</v>
      </c>
      <c r="E25" s="97"/>
      <c r="F25" s="211">
        <f t="shared" si="1"/>
        <v>0</v>
      </c>
      <c r="G25" s="341" t="s">
        <v>108</v>
      </c>
      <c r="H25" s="118"/>
      <c r="I25" s="99">
        <f t="shared" si="4"/>
        <v>0</v>
      </c>
      <c r="J25" s="93"/>
      <c r="K25" s="119"/>
      <c r="L25" s="120"/>
      <c r="M25" s="121">
        <f t="shared" si="5"/>
        <v>0</v>
      </c>
      <c r="N25" s="104"/>
      <c r="O25" s="318"/>
      <c r="P25" s="105"/>
      <c r="Q25" s="106"/>
      <c r="R25" s="105"/>
      <c r="S25" s="105"/>
      <c r="T25" s="122"/>
      <c r="U25" s="123"/>
      <c r="V25" s="105">
        <f t="shared" si="2"/>
        <v>0</v>
      </c>
      <c r="W25" s="123"/>
      <c r="X25" s="123"/>
      <c r="Y25" s="124">
        <f t="shared" si="6"/>
        <v>0</v>
      </c>
      <c r="Z25" s="112"/>
      <c r="AA25" s="113"/>
      <c r="AB25" s="113"/>
      <c r="AC25" s="114"/>
      <c r="AD25" s="336"/>
      <c r="AE25" s="115"/>
      <c r="AF25" s="116"/>
      <c r="AG25" s="117">
        <f t="shared" si="3"/>
        <v>0</v>
      </c>
    </row>
    <row r="26" spans="1:33" x14ac:dyDescent="0.25">
      <c r="A26" s="273" t="s">
        <v>248</v>
      </c>
      <c r="B26" s="94"/>
      <c r="C26" s="95"/>
      <c r="D26" s="96">
        <f t="shared" si="0"/>
        <v>0</v>
      </c>
      <c r="E26" s="97"/>
      <c r="F26" s="211">
        <f t="shared" si="1"/>
        <v>0</v>
      </c>
      <c r="G26" s="341" t="s">
        <v>108</v>
      </c>
      <c r="H26" s="118"/>
      <c r="I26" s="99">
        <f t="shared" si="4"/>
        <v>0</v>
      </c>
      <c r="J26" s="93"/>
      <c r="K26" s="119"/>
      <c r="L26" s="120"/>
      <c r="M26" s="121">
        <f t="shared" si="5"/>
        <v>0</v>
      </c>
      <c r="N26" s="104"/>
      <c r="O26" s="318"/>
      <c r="P26" s="105"/>
      <c r="Q26" s="106"/>
      <c r="R26" s="105"/>
      <c r="S26" s="105"/>
      <c r="T26" s="122"/>
      <c r="U26" s="123"/>
      <c r="V26" s="105">
        <f t="shared" si="2"/>
        <v>0</v>
      </c>
      <c r="W26" s="123"/>
      <c r="X26" s="123"/>
      <c r="Y26" s="124">
        <f t="shared" si="6"/>
        <v>0</v>
      </c>
      <c r="Z26" s="112"/>
      <c r="AA26" s="113"/>
      <c r="AB26" s="113"/>
      <c r="AC26" s="114"/>
      <c r="AD26" s="336"/>
      <c r="AE26" s="115"/>
      <c r="AF26" s="116"/>
      <c r="AG26" s="117">
        <f t="shared" si="3"/>
        <v>0</v>
      </c>
    </row>
    <row r="27" spans="1:33" x14ac:dyDescent="0.25">
      <c r="A27" s="93"/>
      <c r="B27" s="94"/>
      <c r="C27" s="95"/>
      <c r="D27" s="96">
        <f t="shared" si="0"/>
        <v>0</v>
      </c>
      <c r="E27" s="97"/>
      <c r="F27" s="211">
        <f t="shared" si="1"/>
        <v>0</v>
      </c>
      <c r="G27" s="341" t="s">
        <v>108</v>
      </c>
      <c r="H27" s="118"/>
      <c r="I27" s="99">
        <f t="shared" si="4"/>
        <v>0</v>
      </c>
      <c r="J27" s="93"/>
      <c r="K27" s="119"/>
      <c r="L27" s="120"/>
      <c r="M27" s="121">
        <f t="shared" si="5"/>
        <v>0</v>
      </c>
      <c r="N27" s="104"/>
      <c r="O27" s="318"/>
      <c r="P27" s="105"/>
      <c r="Q27" s="106"/>
      <c r="R27" s="105"/>
      <c r="S27" s="105"/>
      <c r="T27" s="122"/>
      <c r="U27" s="123"/>
      <c r="V27" s="105">
        <f t="shared" si="2"/>
        <v>0</v>
      </c>
      <c r="W27" s="123"/>
      <c r="X27" s="123"/>
      <c r="Y27" s="124">
        <f t="shared" si="6"/>
        <v>0</v>
      </c>
      <c r="Z27" s="112"/>
      <c r="AA27" s="113"/>
      <c r="AB27" s="113"/>
      <c r="AC27" s="114"/>
      <c r="AD27" s="336"/>
      <c r="AE27" s="115"/>
      <c r="AF27" s="116"/>
      <c r="AG27" s="117">
        <f t="shared" si="3"/>
        <v>0</v>
      </c>
    </row>
    <row r="28" spans="1:33" x14ac:dyDescent="0.25">
      <c r="A28" s="93"/>
      <c r="B28" s="94"/>
      <c r="C28" s="95"/>
      <c r="D28" s="96">
        <f t="shared" si="0"/>
        <v>0</v>
      </c>
      <c r="E28" s="97"/>
      <c r="F28" s="211">
        <f t="shared" si="1"/>
        <v>0</v>
      </c>
      <c r="G28" s="341" t="s">
        <v>108</v>
      </c>
      <c r="H28" s="118"/>
      <c r="I28" s="99">
        <f t="shared" si="4"/>
        <v>0</v>
      </c>
      <c r="J28" s="93"/>
      <c r="K28" s="119"/>
      <c r="L28" s="120"/>
      <c r="M28" s="121">
        <f t="shared" si="5"/>
        <v>0</v>
      </c>
      <c r="N28" s="104"/>
      <c r="O28" s="318"/>
      <c r="P28" s="105"/>
      <c r="Q28" s="106"/>
      <c r="R28" s="105"/>
      <c r="S28" s="105"/>
      <c r="T28" s="122"/>
      <c r="U28" s="123"/>
      <c r="V28" s="105">
        <f t="shared" si="2"/>
        <v>0</v>
      </c>
      <c r="W28" s="123"/>
      <c r="X28" s="123"/>
      <c r="Y28" s="124">
        <f t="shared" si="6"/>
        <v>0</v>
      </c>
      <c r="Z28" s="112"/>
      <c r="AA28" s="113"/>
      <c r="AB28" s="113"/>
      <c r="AC28" s="114"/>
      <c r="AD28" s="336"/>
      <c r="AE28" s="115"/>
      <c r="AF28" s="116"/>
      <c r="AG28" s="117">
        <f t="shared" si="3"/>
        <v>0</v>
      </c>
    </row>
    <row r="29" spans="1:33" ht="15.75" thickBot="1" x14ac:dyDescent="0.3">
      <c r="A29" s="93"/>
      <c r="B29" s="94"/>
      <c r="C29" s="95"/>
      <c r="D29" s="96">
        <f t="shared" ref="D29:D30" si="7">B29*C29</f>
        <v>0</v>
      </c>
      <c r="E29" s="97"/>
      <c r="F29" s="212">
        <f t="shared" si="1"/>
        <v>0</v>
      </c>
      <c r="G29" s="214"/>
      <c r="H29" s="125">
        <f t="shared" ref="H29:H30" si="8">SUM(F29)</f>
        <v>0</v>
      </c>
      <c r="I29" s="99">
        <f t="shared" si="4"/>
        <v>0</v>
      </c>
      <c r="J29" s="127"/>
      <c r="K29" s="128"/>
      <c r="L29" s="129"/>
      <c r="M29" s="130">
        <f t="shared" si="5"/>
        <v>0</v>
      </c>
      <c r="N29" s="104"/>
      <c r="O29" s="318"/>
      <c r="P29" s="105"/>
      <c r="Q29" s="105"/>
      <c r="R29" s="105"/>
      <c r="S29" s="105"/>
      <c r="T29" s="131"/>
      <c r="U29" s="132"/>
      <c r="V29" s="133">
        <f t="shared" si="2"/>
        <v>0</v>
      </c>
      <c r="W29" s="134"/>
      <c r="X29" s="134"/>
      <c r="Y29" s="135">
        <f t="shared" si="6"/>
        <v>0</v>
      </c>
      <c r="Z29" s="136"/>
      <c r="AA29" s="137"/>
      <c r="AB29" s="137"/>
      <c r="AC29" s="138"/>
      <c r="AD29" s="337"/>
      <c r="AE29" s="115"/>
      <c r="AF29" s="116"/>
      <c r="AG29" s="117">
        <f t="shared" si="3"/>
        <v>0</v>
      </c>
    </row>
    <row r="30" spans="1:33" ht="15.75" thickBot="1" x14ac:dyDescent="0.3">
      <c r="A30" s="93"/>
      <c r="B30" s="94"/>
      <c r="C30" s="95"/>
      <c r="D30" s="96">
        <f t="shared" si="7"/>
        <v>0</v>
      </c>
      <c r="E30" s="97"/>
      <c r="F30" s="212">
        <f t="shared" si="1"/>
        <v>0</v>
      </c>
      <c r="G30" s="214"/>
      <c r="H30" s="125">
        <f t="shared" si="8"/>
        <v>0</v>
      </c>
      <c r="I30" s="99">
        <f t="shared" si="4"/>
        <v>0</v>
      </c>
      <c r="J30" s="127"/>
      <c r="K30" s="128"/>
      <c r="L30" s="129"/>
      <c r="M30" s="130">
        <f t="shared" si="5"/>
        <v>0</v>
      </c>
      <c r="N30" s="104"/>
      <c r="O30" s="318"/>
      <c r="P30" s="105"/>
      <c r="Q30" s="105"/>
      <c r="R30" s="105"/>
      <c r="S30" s="105"/>
      <c r="T30" s="131"/>
      <c r="U30" s="132"/>
      <c r="V30" s="133">
        <f t="shared" si="2"/>
        <v>0</v>
      </c>
      <c r="W30" s="134"/>
      <c r="X30" s="134"/>
      <c r="Y30" s="135">
        <f t="shared" si="6"/>
        <v>0</v>
      </c>
      <c r="Z30" s="136"/>
      <c r="AA30" s="137"/>
      <c r="AB30" s="137"/>
      <c r="AC30" s="138"/>
      <c r="AD30" s="337"/>
      <c r="AE30" s="115"/>
      <c r="AF30" s="116"/>
      <c r="AG30" s="117">
        <f t="shared" si="3"/>
        <v>0</v>
      </c>
    </row>
    <row r="31" spans="1:33" ht="15.75" thickBot="1" x14ac:dyDescent="0.3">
      <c r="A31" s="93"/>
      <c r="B31" s="94"/>
      <c r="C31" s="95"/>
      <c r="D31" s="96">
        <f t="shared" si="0"/>
        <v>0</v>
      </c>
      <c r="E31" s="97"/>
      <c r="F31" s="212">
        <f t="shared" si="1"/>
        <v>0</v>
      </c>
      <c r="G31" s="214"/>
      <c r="H31" s="125">
        <f>SUM(F31)</f>
        <v>0</v>
      </c>
      <c r="I31" s="339">
        <f t="shared" si="4"/>
        <v>0</v>
      </c>
      <c r="J31" s="127"/>
      <c r="K31" s="128"/>
      <c r="L31" s="129"/>
      <c r="M31" s="130">
        <f t="shared" si="5"/>
        <v>0</v>
      </c>
      <c r="N31" s="104"/>
      <c r="O31" s="318"/>
      <c r="P31" s="105"/>
      <c r="Q31" s="105"/>
      <c r="R31" s="105"/>
      <c r="S31" s="105"/>
      <c r="T31" s="131"/>
      <c r="U31" s="132"/>
      <c r="V31" s="133">
        <f t="shared" si="2"/>
        <v>0</v>
      </c>
      <c r="W31" s="134"/>
      <c r="X31" s="134"/>
      <c r="Y31" s="135">
        <f t="shared" si="6"/>
        <v>0</v>
      </c>
      <c r="Z31" s="136"/>
      <c r="AA31" s="137"/>
      <c r="AB31" s="137"/>
      <c r="AC31" s="138"/>
      <c r="AD31" s="337"/>
      <c r="AE31" s="115"/>
      <c r="AF31" s="116"/>
      <c r="AG31" s="117">
        <f t="shared" si="3"/>
        <v>0</v>
      </c>
    </row>
    <row r="32" spans="1:33" ht="15.75" thickBot="1" x14ac:dyDescent="0.3">
      <c r="A32" s="139" t="s">
        <v>78</v>
      </c>
      <c r="B32" s="140"/>
      <c r="C32" s="141"/>
      <c r="D32" s="142">
        <f>SUM(D10:D31)</f>
        <v>385.25</v>
      </c>
      <c r="E32" s="143"/>
      <c r="F32" s="143">
        <f>SUM(F10:F31)</f>
        <v>0</v>
      </c>
      <c r="G32" s="209"/>
      <c r="H32" s="144"/>
      <c r="I32" s="146">
        <f>SUM(I10:I31)</f>
        <v>201</v>
      </c>
      <c r="J32" s="146">
        <f>SUM(J10:J31)</f>
        <v>0</v>
      </c>
      <c r="K32" s="359" t="s">
        <v>79</v>
      </c>
      <c r="L32" s="360"/>
      <c r="M32" s="147">
        <f t="shared" ref="M32:S32" si="9">SUM(M10:M31)</f>
        <v>0</v>
      </c>
      <c r="N32" s="148">
        <f t="shared" si="9"/>
        <v>0</v>
      </c>
      <c r="O32" s="148">
        <f t="shared" si="9"/>
        <v>0</v>
      </c>
      <c r="P32" s="149">
        <f t="shared" si="9"/>
        <v>79.5</v>
      </c>
      <c r="Q32" s="149">
        <f t="shared" si="9"/>
        <v>0</v>
      </c>
      <c r="R32" s="150">
        <f t="shared" si="9"/>
        <v>0</v>
      </c>
      <c r="S32" s="150">
        <f t="shared" si="9"/>
        <v>0</v>
      </c>
      <c r="T32" s="151"/>
      <c r="U32" s="149"/>
      <c r="V32" s="150">
        <f>SUM(V10:V31)</f>
        <v>66.25</v>
      </c>
      <c r="W32" s="151"/>
      <c r="X32" s="152"/>
      <c r="Y32" s="153">
        <f t="shared" ref="Y32:AD32" si="10">SUM(Y10:Y31)</f>
        <v>0</v>
      </c>
      <c r="Z32" s="154">
        <f t="shared" si="10"/>
        <v>0</v>
      </c>
      <c r="AA32" s="155">
        <f t="shared" si="10"/>
        <v>0</v>
      </c>
      <c r="AB32" s="155">
        <f t="shared" si="10"/>
        <v>0</v>
      </c>
      <c r="AC32" s="156">
        <f t="shared" si="10"/>
        <v>0</v>
      </c>
      <c r="AD32" s="338">
        <f t="shared" si="10"/>
        <v>0</v>
      </c>
      <c r="AE32" s="361" t="s">
        <v>80</v>
      </c>
      <c r="AF32" s="362"/>
      <c r="AG32" s="157">
        <f>SUM(AG10:AG31)</f>
        <v>0</v>
      </c>
    </row>
    <row r="33" spans="1:33" ht="16.5" thickBot="1" x14ac:dyDescent="0.3">
      <c r="A33" s="158" t="s">
        <v>81</v>
      </c>
      <c r="B33" s="158">
        <f>(B35+B37)/40</f>
        <v>9.6312499999999996</v>
      </c>
      <c r="C33" s="159" t="s">
        <v>82</v>
      </c>
      <c r="D33" s="160">
        <f>D32-H32</f>
        <v>385.25</v>
      </c>
      <c r="E33" s="161"/>
      <c r="F33" s="161">
        <f>F32*1.15</f>
        <v>0</v>
      </c>
      <c r="G33" s="161"/>
      <c r="H33" s="162"/>
      <c r="I33" s="163"/>
      <c r="J33" s="164"/>
      <c r="K33" s="363" t="s">
        <v>83</v>
      </c>
      <c r="L33" s="364"/>
      <c r="M33" s="165">
        <f>M32*1.125</f>
        <v>0</v>
      </c>
      <c r="N33" s="166">
        <f>N32*1.1</f>
        <v>0</v>
      </c>
      <c r="O33" s="166"/>
      <c r="P33" s="167">
        <f t="shared" ref="P33:V33" si="11">P32*1.1</f>
        <v>87.45</v>
      </c>
      <c r="Q33" s="167">
        <f t="shared" si="11"/>
        <v>0</v>
      </c>
      <c r="R33" s="167">
        <f t="shared" si="11"/>
        <v>0</v>
      </c>
      <c r="S33" s="168">
        <f t="shared" si="11"/>
        <v>0</v>
      </c>
      <c r="T33" s="365"/>
      <c r="U33" s="366"/>
      <c r="V33" s="169">
        <f t="shared" si="11"/>
        <v>72.875</v>
      </c>
      <c r="W33" s="365"/>
      <c r="X33" s="366"/>
      <c r="Y33" s="169">
        <f>Y32*1.15</f>
        <v>0</v>
      </c>
      <c r="Z33" s="170">
        <f>Z32</f>
        <v>0</v>
      </c>
      <c r="AA33" s="170">
        <f t="shared" ref="AA33:AD33" si="12">AA32</f>
        <v>0</v>
      </c>
      <c r="AB33" s="170">
        <f t="shared" si="12"/>
        <v>0</v>
      </c>
      <c r="AC33" s="170">
        <f t="shared" si="12"/>
        <v>0</v>
      </c>
      <c r="AD33" s="170">
        <f t="shared" si="12"/>
        <v>0</v>
      </c>
      <c r="AE33" s="171" t="s">
        <v>84</v>
      </c>
      <c r="AF33" s="172"/>
      <c r="AG33" s="173">
        <v>0</v>
      </c>
    </row>
    <row r="34" spans="1:33" ht="15.75" thickBot="1" x14ac:dyDescent="0.3">
      <c r="A34" s="174" t="s">
        <v>85</v>
      </c>
      <c r="B34" s="175">
        <f>B33/15</f>
        <v>0.64208333333333334</v>
      </c>
      <c r="C34" s="349" t="s">
        <v>86</v>
      </c>
      <c r="D34" s="350"/>
      <c r="E34" s="176"/>
      <c r="F34" s="177"/>
      <c r="G34" s="177"/>
      <c r="H34" s="177"/>
      <c r="I34" s="177"/>
      <c r="J34" s="178"/>
      <c r="K34" s="351" t="s">
        <v>87</v>
      </c>
      <c r="L34" s="352"/>
      <c r="M34" s="179"/>
      <c r="N34" s="353" t="s">
        <v>88</v>
      </c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5"/>
      <c r="Z34" s="356" t="s">
        <v>89</v>
      </c>
      <c r="AA34" s="357"/>
      <c r="AB34" s="357"/>
      <c r="AC34" s="357"/>
      <c r="AD34" s="358"/>
      <c r="AE34" s="180" t="s">
        <v>90</v>
      </c>
      <c r="AF34" s="181"/>
      <c r="AG34" s="157">
        <v>0</v>
      </c>
    </row>
    <row r="35" spans="1:33" x14ac:dyDescent="0.25">
      <c r="A35" s="329" t="s">
        <v>193</v>
      </c>
      <c r="B35" s="330">
        <f>D33-B37-B38-B36</f>
        <v>385.25</v>
      </c>
      <c r="C35" s="183">
        <v>25</v>
      </c>
      <c r="D35" s="184">
        <f>B35*C35</f>
        <v>9631.25</v>
      </c>
    </row>
    <row r="36" spans="1:33" x14ac:dyDescent="0.25">
      <c r="A36" s="329" t="s">
        <v>192</v>
      </c>
      <c r="B36" s="330">
        <v>0</v>
      </c>
      <c r="C36" s="183">
        <v>23</v>
      </c>
      <c r="D36" s="184">
        <f>B36*C36</f>
        <v>0</v>
      </c>
    </row>
    <row r="37" spans="1:33" x14ac:dyDescent="0.25">
      <c r="A37" s="185" t="s">
        <v>190</v>
      </c>
      <c r="B37" s="182">
        <v>0</v>
      </c>
      <c r="C37" s="183">
        <v>35</v>
      </c>
      <c r="D37" s="184">
        <f t="shared" ref="D37:D40" si="13">B37*C37</f>
        <v>0</v>
      </c>
    </row>
    <row r="38" spans="1:33" x14ac:dyDescent="0.25">
      <c r="A38" s="185" t="s">
        <v>191</v>
      </c>
      <c r="B38" s="182">
        <v>0</v>
      </c>
      <c r="C38" s="183">
        <v>32</v>
      </c>
      <c r="D38" s="184">
        <f t="shared" si="13"/>
        <v>0</v>
      </c>
    </row>
    <row r="39" spans="1:33" x14ac:dyDescent="0.25">
      <c r="A39" s="186" t="s">
        <v>91</v>
      </c>
      <c r="B39" s="187">
        <f>SUM(N32:Y32)</f>
        <v>145.75</v>
      </c>
      <c r="C39" s="183">
        <v>25</v>
      </c>
      <c r="D39" s="184">
        <f t="shared" si="13"/>
        <v>3643.75</v>
      </c>
    </row>
    <row r="40" spans="1:33" ht="15.75" thickBot="1" x14ac:dyDescent="0.3">
      <c r="A40" s="188" t="s">
        <v>92</v>
      </c>
      <c r="B40" s="189">
        <f>I32+J32</f>
        <v>201</v>
      </c>
      <c r="C40" s="190">
        <v>25</v>
      </c>
      <c r="D40" s="191">
        <f t="shared" si="13"/>
        <v>5025</v>
      </c>
      <c r="F40" t="s">
        <v>189</v>
      </c>
    </row>
    <row r="41" spans="1:33" ht="15.75" thickTop="1" x14ac:dyDescent="0.25">
      <c r="A41" s="192" t="s">
        <v>93</v>
      </c>
      <c r="B41" s="193">
        <f>B36+B38</f>
        <v>0</v>
      </c>
      <c r="C41" s="194" t="s">
        <v>94</v>
      </c>
      <c r="D41" s="195">
        <f>SUM(D35:D40)</f>
        <v>18300</v>
      </c>
    </row>
    <row r="42" spans="1:33" ht="15.75" thickBot="1" x14ac:dyDescent="0.3">
      <c r="A42" s="196" t="s">
        <v>95</v>
      </c>
      <c r="B42" s="197">
        <f>F32/3</f>
        <v>0</v>
      </c>
      <c r="C42" s="198" t="s">
        <v>96</v>
      </c>
      <c r="D42" s="199">
        <f>D41*1.1</f>
        <v>20130</v>
      </c>
      <c r="F42" s="230" t="s">
        <v>221</v>
      </c>
      <c r="G42" s="230" t="s">
        <v>222</v>
      </c>
      <c r="H42" s="230" t="s">
        <v>223</v>
      </c>
      <c r="I42" s="230" t="s">
        <v>224</v>
      </c>
    </row>
    <row r="43" spans="1:33" x14ac:dyDescent="0.25">
      <c r="A43" s="196" t="s">
        <v>97</v>
      </c>
      <c r="B43" s="200">
        <f>B41-B42</f>
        <v>0</v>
      </c>
      <c r="F43" s="230" t="s">
        <v>220</v>
      </c>
      <c r="G43" s="254">
        <v>16</v>
      </c>
      <c r="H43" s="254">
        <f>16*0.25</f>
        <v>4</v>
      </c>
      <c r="I43" s="254">
        <f>SUM(G43:H43)</f>
        <v>20</v>
      </c>
    </row>
    <row r="44" spans="1:33" ht="15.75" thickBot="1" x14ac:dyDescent="0.3">
      <c r="A44" s="201" t="s">
        <v>194</v>
      </c>
      <c r="B44" s="202">
        <f>B43*1.1</f>
        <v>0</v>
      </c>
      <c r="F44" s="230" t="s">
        <v>218</v>
      </c>
      <c r="G44" s="254">
        <v>19.25</v>
      </c>
      <c r="H44" s="254">
        <f>16*0.67</f>
        <v>10.72</v>
      </c>
      <c r="I44" s="254">
        <f>SUM(G44:H44)</f>
        <v>29.97</v>
      </c>
    </row>
    <row r="45" spans="1:33" x14ac:dyDescent="0.25">
      <c r="A45" s="203" t="s">
        <v>98</v>
      </c>
      <c r="B45" s="204">
        <f>M33</f>
        <v>0</v>
      </c>
      <c r="F45" s="230" t="s">
        <v>217</v>
      </c>
      <c r="G45" s="254">
        <v>22</v>
      </c>
      <c r="H45" s="254">
        <f>16*0.83</f>
        <v>13.28</v>
      </c>
      <c r="I45" s="254">
        <f>SUM(G45:H45)</f>
        <v>35.28</v>
      </c>
    </row>
    <row r="46" spans="1:33" x14ac:dyDescent="0.25">
      <c r="F46" s="230" t="s">
        <v>219</v>
      </c>
      <c r="G46" s="254">
        <v>22.5</v>
      </c>
      <c r="H46" s="254">
        <v>16</v>
      </c>
      <c r="I46" s="254">
        <f>SUM(G46:H46)</f>
        <v>38.5</v>
      </c>
    </row>
    <row r="47" spans="1:33" ht="15.75" thickBot="1" x14ac:dyDescent="0.3"/>
    <row r="48" spans="1:33" ht="15.75" thickBot="1" x14ac:dyDescent="0.3">
      <c r="A48" s="289" t="s">
        <v>205</v>
      </c>
      <c r="B48" s="290"/>
      <c r="C48" s="291"/>
      <c r="D48" s="292"/>
    </row>
    <row r="49" spans="1:4" ht="15.75" thickBot="1" x14ac:dyDescent="0.3">
      <c r="A49" s="293" t="s">
        <v>209</v>
      </c>
      <c r="B49" s="294"/>
      <c r="C49" s="295">
        <f>I45</f>
        <v>35.28</v>
      </c>
      <c r="D49" s="296"/>
    </row>
    <row r="50" spans="1:4" x14ac:dyDescent="0.25">
      <c r="A50" s="293" t="s">
        <v>210</v>
      </c>
      <c r="B50" s="319">
        <v>0.3</v>
      </c>
      <c r="C50" s="229">
        <f>C49*B50</f>
        <v>10.584</v>
      </c>
      <c r="D50" s="298"/>
    </row>
    <row r="51" spans="1:4" x14ac:dyDescent="0.25">
      <c r="A51" s="293" t="s">
        <v>211</v>
      </c>
      <c r="B51" s="297"/>
      <c r="C51" s="232">
        <f>SUM(C49:C50)</f>
        <v>45.864000000000004</v>
      </c>
      <c r="D51" s="298"/>
    </row>
    <row r="52" spans="1:4" ht="15.75" thickBot="1" x14ac:dyDescent="0.3">
      <c r="A52" s="299" t="s">
        <v>212</v>
      </c>
      <c r="B52" s="250"/>
      <c r="C52" s="300">
        <f>C51*1.0725</f>
        <v>49.189140000000002</v>
      </c>
      <c r="D52" s="301"/>
    </row>
    <row r="53" spans="1:4" ht="15.75" thickTop="1" x14ac:dyDescent="0.25">
      <c r="A53" s="302" t="s">
        <v>195</v>
      </c>
      <c r="B53" s="227">
        <v>8</v>
      </c>
      <c r="C53" s="253">
        <v>130</v>
      </c>
      <c r="D53" s="303">
        <f>B53*C53</f>
        <v>1040</v>
      </c>
    </row>
    <row r="54" spans="1:4" x14ac:dyDescent="0.25">
      <c r="A54" s="302" t="s">
        <v>196</v>
      </c>
      <c r="B54" s="227">
        <v>0</v>
      </c>
      <c r="C54" s="253">
        <v>700</v>
      </c>
      <c r="D54" s="303">
        <f>B54*C54</f>
        <v>0</v>
      </c>
    </row>
    <row r="55" spans="1:4" x14ac:dyDescent="0.25">
      <c r="A55" s="304" t="s">
        <v>23</v>
      </c>
      <c r="B55" s="116">
        <v>8</v>
      </c>
      <c r="C55" s="254">
        <v>70</v>
      </c>
      <c r="D55" s="305">
        <f>B55*C55</f>
        <v>560</v>
      </c>
    </row>
    <row r="56" spans="1:4" x14ac:dyDescent="0.25">
      <c r="A56" s="304" t="s">
        <v>197</v>
      </c>
      <c r="B56" s="116">
        <v>0</v>
      </c>
      <c r="C56" s="254">
        <v>0</v>
      </c>
      <c r="D56" s="305">
        <f>B56*C56</f>
        <v>0</v>
      </c>
    </row>
    <row r="57" spans="1:4" ht="15.75" thickBot="1" x14ac:dyDescent="0.3">
      <c r="A57" s="320" t="s">
        <v>198</v>
      </c>
      <c r="B57" s="321">
        <v>0.5</v>
      </c>
      <c r="C57" s="252">
        <v>100</v>
      </c>
      <c r="D57" s="322">
        <f>B57*C57</f>
        <v>50</v>
      </c>
    </row>
    <row r="58" spans="1:4" ht="15.75" thickTop="1" x14ac:dyDescent="0.25">
      <c r="A58" s="323" t="s">
        <v>199</v>
      </c>
      <c r="B58" s="257"/>
      <c r="C58" s="257"/>
      <c r="D58" s="324">
        <f>SUM(D53:D57)</f>
        <v>1650</v>
      </c>
    </row>
    <row r="59" spans="1:4" ht="15.75" thickBot="1" x14ac:dyDescent="0.3">
      <c r="A59" s="306" t="s">
        <v>213</v>
      </c>
      <c r="B59" s="307"/>
      <c r="C59" s="250"/>
      <c r="D59" s="308">
        <f>D58/B60</f>
        <v>57.89473684210526</v>
      </c>
    </row>
    <row r="60" spans="1:4" ht="15.75" thickTop="1" x14ac:dyDescent="0.25">
      <c r="A60" s="323" t="s">
        <v>214</v>
      </c>
      <c r="B60" s="247">
        <f>B67*0.5</f>
        <v>28.5</v>
      </c>
      <c r="C60" s="37"/>
      <c r="D60" s="309"/>
    </row>
    <row r="61" spans="1:4" x14ac:dyDescent="0.25">
      <c r="A61" s="304" t="s">
        <v>215</v>
      </c>
      <c r="B61" s="232">
        <f>C52+D59</f>
        <v>107.08387684210527</v>
      </c>
      <c r="C61" s="230"/>
      <c r="D61" s="298"/>
    </row>
    <row r="62" spans="1:4" x14ac:dyDescent="0.25">
      <c r="A62" s="304" t="s">
        <v>28</v>
      </c>
      <c r="B62" s="232">
        <f>B61*B60</f>
        <v>3051.8904900000002</v>
      </c>
      <c r="C62" s="230"/>
      <c r="D62" s="298"/>
    </row>
    <row r="63" spans="1:4" x14ac:dyDescent="0.25">
      <c r="A63" s="304" t="s">
        <v>200</v>
      </c>
      <c r="B63" s="325">
        <v>0.3</v>
      </c>
      <c r="C63" s="230"/>
      <c r="D63" s="298"/>
    </row>
    <row r="64" spans="1:4" x14ac:dyDescent="0.25">
      <c r="A64" s="304" t="s">
        <v>96</v>
      </c>
      <c r="B64" s="232">
        <f>B62*B63</f>
        <v>915.56714700000009</v>
      </c>
      <c r="C64" s="230"/>
      <c r="D64" s="310"/>
    </row>
    <row r="65" spans="1:4" x14ac:dyDescent="0.25">
      <c r="A65" s="304" t="s">
        <v>201</v>
      </c>
      <c r="B65" s="311">
        <v>25</v>
      </c>
      <c r="C65" s="230"/>
      <c r="D65" s="310"/>
    </row>
    <row r="66" spans="1:4" x14ac:dyDescent="0.25">
      <c r="A66" s="312" t="s">
        <v>202</v>
      </c>
      <c r="B66" s="326">
        <f>B62+B64+B65</f>
        <v>3992.4576370000004</v>
      </c>
      <c r="C66" s="313" t="s">
        <v>216</v>
      </c>
      <c r="D66" s="327">
        <f>B66/B60</f>
        <v>140.086232877193</v>
      </c>
    </row>
    <row r="67" spans="1:4" ht="15.75" thickBot="1" x14ac:dyDescent="0.3">
      <c r="A67" s="314" t="s">
        <v>203</v>
      </c>
      <c r="B67" s="315">
        <v>57</v>
      </c>
      <c r="C67" s="316" t="s">
        <v>204</v>
      </c>
      <c r="D67" s="328">
        <f>B66/B67</f>
        <v>70.043116438596499</v>
      </c>
    </row>
    <row r="68" spans="1:4" ht="15.75" thickBot="1" x14ac:dyDescent="0.3"/>
    <row r="69" spans="1:4" ht="15.75" thickBot="1" x14ac:dyDescent="0.3">
      <c r="A69" s="289" t="s">
        <v>208</v>
      </c>
      <c r="B69" s="290"/>
      <c r="C69" s="291"/>
      <c r="D69" s="292"/>
    </row>
    <row r="70" spans="1:4" ht="15.75" thickBot="1" x14ac:dyDescent="0.3">
      <c r="A70" s="293" t="s">
        <v>209</v>
      </c>
      <c r="B70" s="294"/>
      <c r="C70" s="295">
        <f>I45</f>
        <v>35.28</v>
      </c>
      <c r="D70" s="296"/>
    </row>
    <row r="71" spans="1:4" x14ac:dyDescent="0.25">
      <c r="A71" s="293" t="s">
        <v>210</v>
      </c>
      <c r="B71" s="319">
        <v>0.3</v>
      </c>
      <c r="C71" s="229">
        <f>C70*B71</f>
        <v>10.584</v>
      </c>
      <c r="D71" s="298"/>
    </row>
    <row r="72" spans="1:4" x14ac:dyDescent="0.25">
      <c r="A72" s="293" t="s">
        <v>211</v>
      </c>
      <c r="B72" s="297"/>
      <c r="C72" s="232">
        <f>SUM(C70:C71)</f>
        <v>45.864000000000004</v>
      </c>
      <c r="D72" s="298"/>
    </row>
    <row r="73" spans="1:4" ht="15.75" thickBot="1" x14ac:dyDescent="0.3">
      <c r="A73" s="299" t="s">
        <v>212</v>
      </c>
      <c r="B73" s="250"/>
      <c r="C73" s="300">
        <f>C72*1.0725</f>
        <v>49.189140000000002</v>
      </c>
      <c r="D73" s="301"/>
    </row>
    <row r="74" spans="1:4" ht="15.75" thickTop="1" x14ac:dyDescent="0.25">
      <c r="A74" s="302" t="s">
        <v>195</v>
      </c>
      <c r="B74" s="227">
        <v>8</v>
      </c>
      <c r="C74" s="253">
        <v>130</v>
      </c>
      <c r="D74" s="303">
        <f>B74*C74</f>
        <v>1040</v>
      </c>
    </row>
    <row r="75" spans="1:4" x14ac:dyDescent="0.25">
      <c r="A75" s="302" t="s">
        <v>196</v>
      </c>
      <c r="B75" s="227">
        <v>0</v>
      </c>
      <c r="C75" s="253">
        <v>700</v>
      </c>
      <c r="D75" s="303">
        <f>B75*C75</f>
        <v>0</v>
      </c>
    </row>
    <row r="76" spans="1:4" x14ac:dyDescent="0.25">
      <c r="A76" s="304" t="s">
        <v>23</v>
      </c>
      <c r="B76" s="116">
        <v>8</v>
      </c>
      <c r="C76" s="254">
        <v>70</v>
      </c>
      <c r="D76" s="305">
        <f>B76*C76</f>
        <v>560</v>
      </c>
    </row>
    <row r="77" spans="1:4" x14ac:dyDescent="0.25">
      <c r="A77" s="304" t="s">
        <v>197</v>
      </c>
      <c r="B77" s="116">
        <v>0</v>
      </c>
      <c r="C77" s="254">
        <v>0</v>
      </c>
      <c r="D77" s="305">
        <f>B77*C77</f>
        <v>0</v>
      </c>
    </row>
    <row r="78" spans="1:4" ht="15.75" thickBot="1" x14ac:dyDescent="0.3">
      <c r="A78" s="320" t="s">
        <v>198</v>
      </c>
      <c r="B78" s="321">
        <v>0.5</v>
      </c>
      <c r="C78" s="252">
        <v>100</v>
      </c>
      <c r="D78" s="322">
        <f>B78*C78</f>
        <v>50</v>
      </c>
    </row>
    <row r="79" spans="1:4" ht="15.75" thickTop="1" x14ac:dyDescent="0.25">
      <c r="A79" s="323" t="s">
        <v>199</v>
      </c>
      <c r="B79" s="257"/>
      <c r="C79" s="257"/>
      <c r="D79" s="324">
        <f>SUM(D74:D78)</f>
        <v>1650</v>
      </c>
    </row>
    <row r="80" spans="1:4" ht="15.75" thickBot="1" x14ac:dyDescent="0.3">
      <c r="A80" s="306" t="s">
        <v>213</v>
      </c>
      <c r="B80" s="307"/>
      <c r="C80" s="250"/>
      <c r="D80" s="308">
        <f>D79/B81</f>
        <v>115.78947368421052</v>
      </c>
    </row>
    <row r="81" spans="1:4" ht="15.75" thickTop="1" x14ac:dyDescent="0.25">
      <c r="A81" s="323" t="s">
        <v>214</v>
      </c>
      <c r="B81" s="247">
        <f>B88*0.25</f>
        <v>14.25</v>
      </c>
      <c r="C81" s="37"/>
      <c r="D81" s="309"/>
    </row>
    <row r="82" spans="1:4" x14ac:dyDescent="0.25">
      <c r="A82" s="304" t="s">
        <v>215</v>
      </c>
      <c r="B82" s="232">
        <f>C73+D80</f>
        <v>164.97861368421053</v>
      </c>
      <c r="C82" s="230"/>
      <c r="D82" s="298"/>
    </row>
    <row r="83" spans="1:4" x14ac:dyDescent="0.25">
      <c r="A83" s="304" t="s">
        <v>28</v>
      </c>
      <c r="B83" s="232">
        <f>B82*B81</f>
        <v>2350.9452449999999</v>
      </c>
      <c r="C83" s="230"/>
      <c r="D83" s="298"/>
    </row>
    <row r="84" spans="1:4" x14ac:dyDescent="0.25">
      <c r="A84" s="304" t="s">
        <v>200</v>
      </c>
      <c r="B84" s="325">
        <v>0.3</v>
      </c>
      <c r="C84" s="230"/>
      <c r="D84" s="298"/>
    </row>
    <row r="85" spans="1:4" x14ac:dyDescent="0.25">
      <c r="A85" s="304" t="s">
        <v>96</v>
      </c>
      <c r="B85" s="232">
        <f>B83*B84</f>
        <v>705.28357349999999</v>
      </c>
      <c r="C85" s="230"/>
      <c r="D85" s="310"/>
    </row>
    <row r="86" spans="1:4" x14ac:dyDescent="0.25">
      <c r="A86" s="304" t="s">
        <v>201</v>
      </c>
      <c r="B86" s="311">
        <v>25</v>
      </c>
      <c r="C86" s="230"/>
      <c r="D86" s="310"/>
    </row>
    <row r="87" spans="1:4" x14ac:dyDescent="0.25">
      <c r="A87" s="312" t="s">
        <v>202</v>
      </c>
      <c r="B87" s="326">
        <f>B83+B85+B86</f>
        <v>3081.2288184999998</v>
      </c>
      <c r="C87" s="313" t="s">
        <v>216</v>
      </c>
      <c r="D87" s="327">
        <f>B87/B81</f>
        <v>216.22658375438596</v>
      </c>
    </row>
    <row r="88" spans="1:4" ht="15.75" thickBot="1" x14ac:dyDescent="0.3">
      <c r="A88" s="314" t="s">
        <v>203</v>
      </c>
      <c r="B88" s="315">
        <v>57</v>
      </c>
      <c r="C88" s="316" t="s">
        <v>204</v>
      </c>
      <c r="D88" s="328">
        <f>B87/B88</f>
        <v>54.056645938596489</v>
      </c>
    </row>
    <row r="89" spans="1:4" ht="15.75" thickBot="1" x14ac:dyDescent="0.3"/>
    <row r="90" spans="1:4" ht="15.75" thickBot="1" x14ac:dyDescent="0.3">
      <c r="A90" s="289" t="s">
        <v>225</v>
      </c>
      <c r="B90" s="290"/>
      <c r="C90" s="291"/>
      <c r="D90" s="292"/>
    </row>
    <row r="91" spans="1:4" ht="15.75" thickBot="1" x14ac:dyDescent="0.3">
      <c r="A91" s="293" t="s">
        <v>209</v>
      </c>
      <c r="B91" s="294"/>
      <c r="C91" s="295">
        <f>I44</f>
        <v>29.97</v>
      </c>
      <c r="D91" s="296"/>
    </row>
    <row r="92" spans="1:4" x14ac:dyDescent="0.25">
      <c r="A92" s="293" t="s">
        <v>210</v>
      </c>
      <c r="B92" s="319">
        <v>0.3</v>
      </c>
      <c r="C92" s="229">
        <f>C91*B92</f>
        <v>8.9909999999999997</v>
      </c>
      <c r="D92" s="298"/>
    </row>
    <row r="93" spans="1:4" x14ac:dyDescent="0.25">
      <c r="A93" s="293" t="s">
        <v>211</v>
      </c>
      <c r="B93" s="297"/>
      <c r="C93" s="232">
        <f>SUM(C91:C92)</f>
        <v>38.960999999999999</v>
      </c>
      <c r="D93" s="298"/>
    </row>
    <row r="94" spans="1:4" ht="15.75" thickBot="1" x14ac:dyDescent="0.3">
      <c r="A94" s="299" t="s">
        <v>212</v>
      </c>
      <c r="B94" s="250"/>
      <c r="C94" s="300">
        <f>C93*1.0725</f>
        <v>41.785672499999997</v>
      </c>
      <c r="D94" s="301"/>
    </row>
    <row r="95" spans="1:4" ht="15.75" thickTop="1" x14ac:dyDescent="0.25">
      <c r="A95" s="302" t="s">
        <v>195</v>
      </c>
      <c r="B95" s="227">
        <v>12</v>
      </c>
      <c r="C95" s="253">
        <v>130</v>
      </c>
      <c r="D95" s="303">
        <f>B95*C95</f>
        <v>1560</v>
      </c>
    </row>
    <row r="96" spans="1:4" x14ac:dyDescent="0.25">
      <c r="A96" s="302" t="s">
        <v>196</v>
      </c>
      <c r="B96" s="227">
        <v>10</v>
      </c>
      <c r="C96" s="253">
        <v>700</v>
      </c>
      <c r="D96" s="303">
        <f>B96*C96</f>
        <v>7000</v>
      </c>
    </row>
    <row r="97" spans="1:4" x14ac:dyDescent="0.25">
      <c r="A97" s="304" t="s">
        <v>23</v>
      </c>
      <c r="B97" s="116">
        <v>60</v>
      </c>
      <c r="C97" s="254">
        <v>70</v>
      </c>
      <c r="D97" s="305">
        <f>B97*C97</f>
        <v>4200</v>
      </c>
    </row>
    <row r="98" spans="1:4" x14ac:dyDescent="0.25">
      <c r="A98" s="304" t="s">
        <v>197</v>
      </c>
      <c r="B98" s="116">
        <v>0</v>
      </c>
      <c r="C98" s="254">
        <v>0</v>
      </c>
      <c r="D98" s="305">
        <f>B98*C98</f>
        <v>0</v>
      </c>
    </row>
    <row r="99" spans="1:4" ht="15.75" thickBot="1" x14ac:dyDescent="0.3">
      <c r="A99" s="320" t="s">
        <v>198</v>
      </c>
      <c r="B99" s="321">
        <v>2</v>
      </c>
      <c r="C99" s="252">
        <v>100</v>
      </c>
      <c r="D99" s="322">
        <f>B99*C99</f>
        <v>200</v>
      </c>
    </row>
    <row r="100" spans="1:4" ht="15.75" thickTop="1" x14ac:dyDescent="0.25">
      <c r="A100" s="323" t="s">
        <v>199</v>
      </c>
      <c r="B100" s="257"/>
      <c r="C100" s="257"/>
      <c r="D100" s="324">
        <f>SUM(D95:D99)</f>
        <v>12960</v>
      </c>
    </row>
    <row r="101" spans="1:4" ht="15.75" thickBot="1" x14ac:dyDescent="0.3">
      <c r="A101" s="306" t="s">
        <v>213</v>
      </c>
      <c r="B101" s="307"/>
      <c r="C101" s="250"/>
      <c r="D101" s="308" t="e">
        <f>D100/B102</f>
        <v>#DIV/0!</v>
      </c>
    </row>
    <row r="102" spans="1:4" ht="15.75" thickTop="1" x14ac:dyDescent="0.25">
      <c r="A102" s="323" t="s">
        <v>214</v>
      </c>
      <c r="B102" s="247">
        <f>B109*0.5</f>
        <v>0</v>
      </c>
      <c r="C102" s="37"/>
      <c r="D102" s="309"/>
    </row>
    <row r="103" spans="1:4" x14ac:dyDescent="0.25">
      <c r="A103" s="304" t="s">
        <v>215</v>
      </c>
      <c r="B103" s="232" t="e">
        <f>C94+D101</f>
        <v>#DIV/0!</v>
      </c>
      <c r="C103" s="230"/>
      <c r="D103" s="298"/>
    </row>
    <row r="104" spans="1:4" x14ac:dyDescent="0.25">
      <c r="A104" s="304" t="s">
        <v>28</v>
      </c>
      <c r="B104" s="232" t="e">
        <f>B103*B102</f>
        <v>#DIV/0!</v>
      </c>
      <c r="C104" s="230"/>
      <c r="D104" s="298"/>
    </row>
    <row r="105" spans="1:4" x14ac:dyDescent="0.25">
      <c r="A105" s="304" t="s">
        <v>200</v>
      </c>
      <c r="B105" s="325">
        <v>0.3</v>
      </c>
      <c r="C105" s="230"/>
      <c r="D105" s="298"/>
    </row>
    <row r="106" spans="1:4" x14ac:dyDescent="0.25">
      <c r="A106" s="304" t="s">
        <v>96</v>
      </c>
      <c r="B106" s="232" t="e">
        <f>B104*B105</f>
        <v>#DIV/0!</v>
      </c>
      <c r="C106" s="230"/>
      <c r="D106" s="310"/>
    </row>
    <row r="107" spans="1:4" x14ac:dyDescent="0.25">
      <c r="A107" s="304" t="s">
        <v>201</v>
      </c>
      <c r="B107" s="311">
        <v>100</v>
      </c>
      <c r="C107" s="230"/>
      <c r="D107" s="310"/>
    </row>
    <row r="108" spans="1:4" x14ac:dyDescent="0.25">
      <c r="A108" s="312" t="s">
        <v>202</v>
      </c>
      <c r="B108" s="326" t="e">
        <f>B104+B106+B107</f>
        <v>#DIV/0!</v>
      </c>
      <c r="C108" s="313" t="s">
        <v>216</v>
      </c>
      <c r="D108" s="327" t="e">
        <f>B108/B102</f>
        <v>#DIV/0!</v>
      </c>
    </row>
    <row r="109" spans="1:4" ht="15.75" thickBot="1" x14ac:dyDescent="0.3">
      <c r="A109" s="314" t="s">
        <v>203</v>
      </c>
      <c r="B109" s="315">
        <f>Q33</f>
        <v>0</v>
      </c>
      <c r="C109" s="316" t="s">
        <v>204</v>
      </c>
      <c r="D109" s="328" t="e">
        <f>B108/B109</f>
        <v>#DIV/0!</v>
      </c>
    </row>
    <row r="110" spans="1:4" ht="15.75" thickBot="1" x14ac:dyDescent="0.3"/>
    <row r="111" spans="1:4" ht="15.75" thickBot="1" x14ac:dyDescent="0.3">
      <c r="A111" s="289" t="s">
        <v>104</v>
      </c>
      <c r="B111" s="290"/>
      <c r="C111" s="291"/>
      <c r="D111" s="292"/>
    </row>
    <row r="112" spans="1:4" ht="15.75" thickBot="1" x14ac:dyDescent="0.3">
      <c r="A112" s="293" t="s">
        <v>209</v>
      </c>
      <c r="B112" s="294"/>
      <c r="C112" s="295">
        <f>I43</f>
        <v>20</v>
      </c>
      <c r="D112" s="296"/>
    </row>
    <row r="113" spans="1:4" x14ac:dyDescent="0.25">
      <c r="A113" s="293" t="s">
        <v>210</v>
      </c>
      <c r="B113" s="319">
        <v>0.2</v>
      </c>
      <c r="C113" s="229">
        <f>C112*B113</f>
        <v>4</v>
      </c>
      <c r="D113" s="298"/>
    </row>
    <row r="114" spans="1:4" x14ac:dyDescent="0.25">
      <c r="A114" s="293" t="s">
        <v>211</v>
      </c>
      <c r="B114" s="297"/>
      <c r="C114" s="232">
        <f>SUM(C112:C113)</f>
        <v>24</v>
      </c>
      <c r="D114" s="298"/>
    </row>
    <row r="115" spans="1:4" ht="15.75" thickBot="1" x14ac:dyDescent="0.3">
      <c r="A115" s="299" t="s">
        <v>212</v>
      </c>
      <c r="B115" s="250"/>
      <c r="C115" s="300">
        <f>C114*1.0725</f>
        <v>25.740000000000002</v>
      </c>
      <c r="D115" s="301"/>
    </row>
    <row r="116" spans="1:4" ht="15.75" thickTop="1" x14ac:dyDescent="0.25">
      <c r="A116" s="302" t="s">
        <v>195</v>
      </c>
      <c r="B116" s="227">
        <v>2</v>
      </c>
      <c r="C116" s="253">
        <v>130</v>
      </c>
      <c r="D116" s="303">
        <f>B116*C116</f>
        <v>260</v>
      </c>
    </row>
    <row r="117" spans="1:4" x14ac:dyDescent="0.25">
      <c r="A117" s="302" t="s">
        <v>196</v>
      </c>
      <c r="B117" s="227">
        <v>0</v>
      </c>
      <c r="C117" s="253">
        <v>700</v>
      </c>
      <c r="D117" s="303">
        <f>B117*C117</f>
        <v>0</v>
      </c>
    </row>
    <row r="118" spans="1:4" x14ac:dyDescent="0.25">
      <c r="A118" s="304" t="s">
        <v>23</v>
      </c>
      <c r="B118" s="116">
        <v>3</v>
      </c>
      <c r="C118" s="254">
        <v>70</v>
      </c>
      <c r="D118" s="305">
        <f>B118*C118</f>
        <v>210</v>
      </c>
    </row>
    <row r="119" spans="1:4" x14ac:dyDescent="0.25">
      <c r="A119" s="304" t="s">
        <v>197</v>
      </c>
      <c r="B119" s="116">
        <v>0</v>
      </c>
      <c r="C119" s="254">
        <v>0</v>
      </c>
      <c r="D119" s="305">
        <f>B119*C119</f>
        <v>0</v>
      </c>
    </row>
    <row r="120" spans="1:4" ht="15.75" thickBot="1" x14ac:dyDescent="0.3">
      <c r="A120" s="320" t="s">
        <v>198</v>
      </c>
      <c r="B120" s="321">
        <v>0</v>
      </c>
      <c r="C120" s="252">
        <v>100</v>
      </c>
      <c r="D120" s="322">
        <f>B120*C120</f>
        <v>0</v>
      </c>
    </row>
    <row r="121" spans="1:4" ht="15.75" thickTop="1" x14ac:dyDescent="0.25">
      <c r="A121" s="323" t="s">
        <v>199</v>
      </c>
      <c r="B121" s="257"/>
      <c r="C121" s="257"/>
      <c r="D121" s="324">
        <f>SUM(D116:D120)</f>
        <v>470</v>
      </c>
    </row>
    <row r="122" spans="1:4" ht="15.75" thickBot="1" x14ac:dyDescent="0.3">
      <c r="A122" s="306" t="s">
        <v>213</v>
      </c>
      <c r="B122" s="307"/>
      <c r="C122" s="250"/>
      <c r="D122" s="308">
        <f>D121/B123</f>
        <v>23.5</v>
      </c>
    </row>
    <row r="123" spans="1:4" ht="15.75" thickTop="1" x14ac:dyDescent="0.25">
      <c r="A123" s="323" t="s">
        <v>214</v>
      </c>
      <c r="B123" s="247">
        <f>B130*0.5</f>
        <v>20</v>
      </c>
      <c r="C123" s="37"/>
      <c r="D123" s="309"/>
    </row>
    <row r="124" spans="1:4" x14ac:dyDescent="0.25">
      <c r="A124" s="304" t="s">
        <v>215</v>
      </c>
      <c r="B124" s="232">
        <f>C115+D122</f>
        <v>49.24</v>
      </c>
      <c r="C124" s="230"/>
      <c r="D124" s="298"/>
    </row>
    <row r="125" spans="1:4" x14ac:dyDescent="0.25">
      <c r="A125" s="304" t="s">
        <v>28</v>
      </c>
      <c r="B125" s="232">
        <f>B124*B123</f>
        <v>984.80000000000007</v>
      </c>
      <c r="C125" s="230"/>
      <c r="D125" s="298"/>
    </row>
    <row r="126" spans="1:4" x14ac:dyDescent="0.25">
      <c r="A126" s="304" t="s">
        <v>200</v>
      </c>
      <c r="B126" s="325">
        <v>0.3</v>
      </c>
      <c r="C126" s="230"/>
      <c r="D126" s="298"/>
    </row>
    <row r="127" spans="1:4" x14ac:dyDescent="0.25">
      <c r="A127" s="304" t="s">
        <v>96</v>
      </c>
      <c r="B127" s="232">
        <f>B125*B126</f>
        <v>295.44</v>
      </c>
      <c r="C127" s="230"/>
      <c r="D127" s="310"/>
    </row>
    <row r="128" spans="1:4" x14ac:dyDescent="0.25">
      <c r="A128" s="304" t="s">
        <v>201</v>
      </c>
      <c r="B128" s="311">
        <v>10</v>
      </c>
      <c r="C128" s="230"/>
      <c r="D128" s="310"/>
    </row>
    <row r="129" spans="1:4" x14ac:dyDescent="0.25">
      <c r="A129" s="312" t="s">
        <v>202</v>
      </c>
      <c r="B129" s="326">
        <f>B125+B127+B128</f>
        <v>1290.24</v>
      </c>
      <c r="C129" s="313" t="s">
        <v>216</v>
      </c>
      <c r="D129" s="327">
        <f>B129/B123</f>
        <v>64.512</v>
      </c>
    </row>
    <row r="130" spans="1:4" ht="15.75" thickBot="1" x14ac:dyDescent="0.3">
      <c r="A130" s="314" t="s">
        <v>203</v>
      </c>
      <c r="B130" s="315">
        <v>40</v>
      </c>
      <c r="C130" s="316" t="s">
        <v>204</v>
      </c>
      <c r="D130" s="328">
        <f>B129/B130</f>
        <v>32.256</v>
      </c>
    </row>
    <row r="131" spans="1:4" ht="15.75" thickBot="1" x14ac:dyDescent="0.3"/>
    <row r="132" spans="1:4" ht="15.75" thickBot="1" x14ac:dyDescent="0.3">
      <c r="A132" s="289" t="s">
        <v>230</v>
      </c>
      <c r="B132" s="290"/>
      <c r="C132" s="291"/>
      <c r="D132" s="292"/>
    </row>
    <row r="133" spans="1:4" ht="15.75" thickBot="1" x14ac:dyDescent="0.3">
      <c r="A133" s="293" t="s">
        <v>209</v>
      </c>
      <c r="B133" s="294"/>
      <c r="C133" s="295">
        <v>22</v>
      </c>
      <c r="D133" s="296"/>
    </row>
    <row r="134" spans="1:4" x14ac:dyDescent="0.25">
      <c r="A134" s="293" t="s">
        <v>210</v>
      </c>
      <c r="B134" s="319">
        <v>0.2</v>
      </c>
      <c r="C134" s="229">
        <f>C133*B134</f>
        <v>4.4000000000000004</v>
      </c>
      <c r="D134" s="298"/>
    </row>
    <row r="135" spans="1:4" x14ac:dyDescent="0.25">
      <c r="A135" s="293" t="s">
        <v>211</v>
      </c>
      <c r="B135" s="297"/>
      <c r="C135" s="232">
        <f>SUM(C133:C134)</f>
        <v>26.4</v>
      </c>
      <c r="D135" s="298"/>
    </row>
    <row r="136" spans="1:4" ht="15.75" thickBot="1" x14ac:dyDescent="0.3">
      <c r="A136" s="299" t="s">
        <v>212</v>
      </c>
      <c r="B136" s="250"/>
      <c r="C136" s="300">
        <f>C135*1.0725</f>
        <v>28.314</v>
      </c>
      <c r="D136" s="301"/>
    </row>
    <row r="137" spans="1:4" ht="15.75" thickTop="1" x14ac:dyDescent="0.25">
      <c r="A137" s="302" t="s">
        <v>195</v>
      </c>
      <c r="B137" s="227">
        <v>6</v>
      </c>
      <c r="C137" s="253">
        <v>130</v>
      </c>
      <c r="D137" s="303">
        <f>B137*C137</f>
        <v>780</v>
      </c>
    </row>
    <row r="138" spans="1:4" x14ac:dyDescent="0.25">
      <c r="A138" s="302" t="s">
        <v>196</v>
      </c>
      <c r="B138" s="227">
        <v>0</v>
      </c>
      <c r="C138" s="253">
        <v>700</v>
      </c>
      <c r="D138" s="303">
        <f>B138*C138</f>
        <v>0</v>
      </c>
    </row>
    <row r="139" spans="1:4" x14ac:dyDescent="0.25">
      <c r="A139" s="304" t="s">
        <v>23</v>
      </c>
      <c r="B139" s="116">
        <v>6</v>
      </c>
      <c r="C139" s="254">
        <v>70</v>
      </c>
      <c r="D139" s="305">
        <f>B139*C139</f>
        <v>420</v>
      </c>
    </row>
    <row r="140" spans="1:4" x14ac:dyDescent="0.25">
      <c r="A140" s="304" t="s">
        <v>197</v>
      </c>
      <c r="B140" s="116">
        <v>0</v>
      </c>
      <c r="C140" s="254">
        <v>0</v>
      </c>
      <c r="D140" s="305">
        <f>B140*C140</f>
        <v>0</v>
      </c>
    </row>
    <row r="141" spans="1:4" ht="15.75" thickBot="1" x14ac:dyDescent="0.3">
      <c r="A141" s="320" t="s">
        <v>198</v>
      </c>
      <c r="B141" s="321">
        <v>2</v>
      </c>
      <c r="C141" s="252">
        <v>100</v>
      </c>
      <c r="D141" s="322">
        <f>B141*C141</f>
        <v>200</v>
      </c>
    </row>
    <row r="142" spans="1:4" ht="15.75" thickTop="1" x14ac:dyDescent="0.25">
      <c r="A142" s="323" t="s">
        <v>199</v>
      </c>
      <c r="B142" s="257"/>
      <c r="C142" s="257"/>
      <c r="D142" s="324">
        <f>SUM(D137:D141)</f>
        <v>1400</v>
      </c>
    </row>
    <row r="143" spans="1:4" ht="15.75" thickBot="1" x14ac:dyDescent="0.3">
      <c r="A143" s="306" t="s">
        <v>213</v>
      </c>
      <c r="B143" s="307"/>
      <c r="C143" s="250"/>
      <c r="D143" s="308">
        <f>D142/B144</f>
        <v>12.903225806451612</v>
      </c>
    </row>
    <row r="144" spans="1:4" ht="15.75" thickTop="1" x14ac:dyDescent="0.25">
      <c r="A144" s="323" t="s">
        <v>214</v>
      </c>
      <c r="B144" s="247">
        <v>108.5</v>
      </c>
      <c r="C144" s="37"/>
      <c r="D144" s="309"/>
    </row>
    <row r="145" spans="1:6" x14ac:dyDescent="0.25">
      <c r="A145" s="304" t="s">
        <v>215</v>
      </c>
      <c r="B145" s="232">
        <f>C136+D143</f>
        <v>41.217225806451609</v>
      </c>
      <c r="C145" s="230"/>
      <c r="D145" s="298"/>
    </row>
    <row r="146" spans="1:6" x14ac:dyDescent="0.25">
      <c r="A146" s="304" t="s">
        <v>28</v>
      </c>
      <c r="B146" s="232">
        <f>B145*B144</f>
        <v>4472.0689999999995</v>
      </c>
      <c r="C146" s="230"/>
      <c r="D146" s="298"/>
    </row>
    <row r="147" spans="1:6" x14ac:dyDescent="0.25">
      <c r="A147" s="304" t="s">
        <v>200</v>
      </c>
      <c r="B147" s="325">
        <v>0.3</v>
      </c>
      <c r="C147" s="230"/>
      <c r="D147" s="298"/>
    </row>
    <row r="148" spans="1:6" x14ac:dyDescent="0.25">
      <c r="A148" s="304" t="s">
        <v>96</v>
      </c>
      <c r="B148" s="232">
        <f>B146*B147</f>
        <v>1341.6206999999997</v>
      </c>
      <c r="C148" s="230"/>
      <c r="D148" s="310"/>
    </row>
    <row r="149" spans="1:6" x14ac:dyDescent="0.25">
      <c r="A149" s="304" t="s">
        <v>201</v>
      </c>
      <c r="B149" s="311">
        <v>50</v>
      </c>
      <c r="C149" s="230"/>
      <c r="D149" s="310"/>
    </row>
    <row r="150" spans="1:6" x14ac:dyDescent="0.25">
      <c r="A150" s="312" t="s">
        <v>202</v>
      </c>
      <c r="B150" s="326">
        <f>B146+B148+B149</f>
        <v>5863.689699999999</v>
      </c>
      <c r="C150" s="313" t="s">
        <v>216</v>
      </c>
      <c r="D150" s="327">
        <f>B150/B144</f>
        <v>54.043223041474647</v>
      </c>
      <c r="E150">
        <v>25</v>
      </c>
      <c r="F150" s="205">
        <f>D150*E150</f>
        <v>1351.0805760368662</v>
      </c>
    </row>
    <row r="151" spans="1:6" ht="15.75" thickBot="1" x14ac:dyDescent="0.3">
      <c r="A151" s="314" t="s">
        <v>203</v>
      </c>
      <c r="B151" s="315">
        <f>AG32</f>
        <v>0</v>
      </c>
      <c r="C151" s="316" t="s">
        <v>204</v>
      </c>
      <c r="D151" s="328" t="e">
        <f>B150/B151</f>
        <v>#DIV/0!</v>
      </c>
      <c r="E151">
        <v>40</v>
      </c>
      <c r="F151" s="205">
        <f>D150*E151</f>
        <v>2161.7289216589861</v>
      </c>
    </row>
    <row r="152" spans="1:6" ht="15.75" thickBot="1" x14ac:dyDescent="0.3">
      <c r="A152" s="331"/>
      <c r="B152" s="332"/>
      <c r="C152" s="333"/>
      <c r="D152" s="334"/>
    </row>
    <row r="153" spans="1:6" ht="15.75" thickBot="1" x14ac:dyDescent="0.3">
      <c r="A153" s="289" t="s">
        <v>103</v>
      </c>
      <c r="B153" s="290"/>
      <c r="C153" s="291"/>
      <c r="D153" s="292"/>
    </row>
    <row r="154" spans="1:6" ht="15.75" thickBot="1" x14ac:dyDescent="0.3">
      <c r="A154" s="293" t="s">
        <v>209</v>
      </c>
      <c r="B154" s="294"/>
      <c r="C154" s="295">
        <f>I44</f>
        <v>29.97</v>
      </c>
      <c r="D154" s="296"/>
    </row>
    <row r="155" spans="1:6" x14ac:dyDescent="0.25">
      <c r="A155" s="293" t="s">
        <v>210</v>
      </c>
      <c r="B155" s="319">
        <v>0.3</v>
      </c>
      <c r="C155" s="229">
        <f>C154*B155</f>
        <v>8.9909999999999997</v>
      </c>
      <c r="D155" s="298"/>
    </row>
    <row r="156" spans="1:6" x14ac:dyDescent="0.25">
      <c r="A156" s="293" t="s">
        <v>211</v>
      </c>
      <c r="B156" s="297"/>
      <c r="C156" s="232">
        <f>SUM(C154:C155)</f>
        <v>38.960999999999999</v>
      </c>
      <c r="D156" s="298"/>
    </row>
    <row r="157" spans="1:6" ht="15.75" thickBot="1" x14ac:dyDescent="0.3">
      <c r="A157" s="299" t="s">
        <v>212</v>
      </c>
      <c r="B157" s="250"/>
      <c r="C157" s="300">
        <f>C156*1.0725</f>
        <v>41.785672499999997</v>
      </c>
      <c r="D157" s="301"/>
    </row>
    <row r="158" spans="1:6" ht="15.75" thickTop="1" x14ac:dyDescent="0.25">
      <c r="A158" s="302" t="s">
        <v>195</v>
      </c>
      <c r="B158" s="227">
        <v>12</v>
      </c>
      <c r="C158" s="253">
        <v>130</v>
      </c>
      <c r="D158" s="303">
        <f>B158*C158</f>
        <v>1560</v>
      </c>
    </row>
    <row r="159" spans="1:6" x14ac:dyDescent="0.25">
      <c r="A159" s="302" t="s">
        <v>196</v>
      </c>
      <c r="B159" s="227">
        <v>1</v>
      </c>
      <c r="C159" s="253">
        <v>700</v>
      </c>
      <c r="D159" s="303">
        <f>B159*C159</f>
        <v>700</v>
      </c>
    </row>
    <row r="160" spans="1:6" x14ac:dyDescent="0.25">
      <c r="A160" s="304" t="s">
        <v>23</v>
      </c>
      <c r="B160" s="116">
        <v>8</v>
      </c>
      <c r="C160" s="254">
        <v>70</v>
      </c>
      <c r="D160" s="305">
        <f>B160*C160</f>
        <v>560</v>
      </c>
    </row>
    <row r="161" spans="1:5" x14ac:dyDescent="0.25">
      <c r="A161" s="304" t="s">
        <v>197</v>
      </c>
      <c r="B161" s="116">
        <v>0</v>
      </c>
      <c r="C161" s="254">
        <v>0</v>
      </c>
      <c r="D161" s="305">
        <f>B161*C161</f>
        <v>0</v>
      </c>
    </row>
    <row r="162" spans="1:5" ht="15.75" thickBot="1" x14ac:dyDescent="0.3">
      <c r="A162" s="320" t="s">
        <v>198</v>
      </c>
      <c r="B162" s="321">
        <v>2</v>
      </c>
      <c r="C162" s="252">
        <v>100</v>
      </c>
      <c r="D162" s="322">
        <f>B162*C162</f>
        <v>200</v>
      </c>
    </row>
    <row r="163" spans="1:5" ht="15.75" thickTop="1" x14ac:dyDescent="0.25">
      <c r="A163" s="323" t="s">
        <v>199</v>
      </c>
      <c r="B163" s="257"/>
      <c r="C163" s="257"/>
      <c r="D163" s="324">
        <f>SUM(D158:D162)</f>
        <v>3020</v>
      </c>
    </row>
    <row r="164" spans="1:5" ht="15.75" thickBot="1" x14ac:dyDescent="0.3">
      <c r="A164" s="306" t="s">
        <v>213</v>
      </c>
      <c r="B164" s="307"/>
      <c r="C164" s="250"/>
      <c r="D164" s="308">
        <f>D163/B165</f>
        <v>251.66666666666666</v>
      </c>
    </row>
    <row r="165" spans="1:5" ht="15.75" thickTop="1" x14ac:dyDescent="0.25">
      <c r="A165" s="323" t="s">
        <v>214</v>
      </c>
      <c r="B165" s="247">
        <v>12</v>
      </c>
      <c r="C165" s="37"/>
      <c r="D165" s="309"/>
    </row>
    <row r="166" spans="1:5" x14ac:dyDescent="0.25">
      <c r="A166" s="304" t="s">
        <v>215</v>
      </c>
      <c r="B166" s="232">
        <f>C157+D164</f>
        <v>293.45233916666666</v>
      </c>
      <c r="C166" s="230"/>
      <c r="D166" s="298"/>
    </row>
    <row r="167" spans="1:5" x14ac:dyDescent="0.25">
      <c r="A167" s="304" t="s">
        <v>28</v>
      </c>
      <c r="B167" s="232">
        <f>B166*B165</f>
        <v>3521.4280699999999</v>
      </c>
      <c r="C167" s="230"/>
      <c r="D167" s="298"/>
    </row>
    <row r="168" spans="1:5" x14ac:dyDescent="0.25">
      <c r="A168" s="304" t="s">
        <v>200</v>
      </c>
      <c r="B168" s="325">
        <v>0.3</v>
      </c>
      <c r="C168" s="230"/>
      <c r="D168" s="298"/>
    </row>
    <row r="169" spans="1:5" x14ac:dyDescent="0.25">
      <c r="A169" s="304" t="s">
        <v>96</v>
      </c>
      <c r="B169" s="232">
        <f>B167*B168</f>
        <v>1056.4284209999998</v>
      </c>
      <c r="C169" s="230"/>
      <c r="D169" s="310"/>
    </row>
    <row r="170" spans="1:5" x14ac:dyDescent="0.25">
      <c r="A170" s="304" t="s">
        <v>201</v>
      </c>
      <c r="B170" s="311">
        <v>25</v>
      </c>
      <c r="C170" s="230"/>
      <c r="D170" s="310"/>
    </row>
    <row r="171" spans="1:5" x14ac:dyDescent="0.25">
      <c r="A171" s="312" t="s">
        <v>202</v>
      </c>
      <c r="B171" s="326">
        <f>B167+B169+B170</f>
        <v>4602.8564909999996</v>
      </c>
      <c r="C171" s="313" t="s">
        <v>216</v>
      </c>
      <c r="D171" s="327">
        <f>B171/B165</f>
        <v>383.57137424999996</v>
      </c>
    </row>
    <row r="172" spans="1:5" ht="15.75" thickBot="1" x14ac:dyDescent="0.3">
      <c r="A172" s="314" t="s">
        <v>203</v>
      </c>
      <c r="B172" s="315">
        <v>12</v>
      </c>
      <c r="C172" s="316" t="s">
        <v>204</v>
      </c>
      <c r="D172" s="328">
        <f>B171/B172</f>
        <v>383.57137424999996</v>
      </c>
    </row>
    <row r="174" spans="1:5" ht="15.75" x14ac:dyDescent="0.25">
      <c r="A174" s="1" t="s">
        <v>3</v>
      </c>
      <c r="B174" s="404" t="s">
        <v>226</v>
      </c>
      <c r="C174" s="404"/>
      <c r="D174" s="404"/>
      <c r="E174" s="404"/>
    </row>
    <row r="175" spans="1:5" ht="15.75" x14ac:dyDescent="0.25">
      <c r="A175" s="1" t="s">
        <v>4</v>
      </c>
      <c r="B175" s="404" t="s">
        <v>227</v>
      </c>
      <c r="C175" s="404"/>
      <c r="D175" s="404"/>
      <c r="E175" s="404"/>
    </row>
    <row r="176" spans="1:5" ht="16.5" thickBot="1" x14ac:dyDescent="0.3">
      <c r="A176" s="2" t="s">
        <v>6</v>
      </c>
      <c r="B176" s="388" t="s">
        <v>7</v>
      </c>
      <c r="C176" s="388"/>
      <c r="D176" s="388"/>
      <c r="E176" s="388"/>
    </row>
    <row r="177" spans="1:5" ht="16.5" thickBot="1" x14ac:dyDescent="0.3">
      <c r="A177" s="3" t="s">
        <v>8</v>
      </c>
      <c r="B177" s="405"/>
      <c r="C177" s="405"/>
      <c r="D177" s="405"/>
      <c r="E177" s="406"/>
    </row>
    <row r="178" spans="1:5" ht="15.75" thickBot="1" x14ac:dyDescent="0.3">
      <c r="A178" s="4" t="s">
        <v>9</v>
      </c>
      <c r="B178" s="5" t="s">
        <v>10</v>
      </c>
      <c r="C178" s="5" t="s">
        <v>11</v>
      </c>
      <c r="D178" s="5" t="s">
        <v>12</v>
      </c>
      <c r="E178" s="6" t="s">
        <v>13</v>
      </c>
    </row>
    <row r="179" spans="1:5" ht="15.75" thickTop="1" x14ac:dyDescent="0.25">
      <c r="A179" s="7" t="s">
        <v>228</v>
      </c>
      <c r="B179" s="8">
        <v>6</v>
      </c>
      <c r="C179" s="8">
        <v>6</v>
      </c>
      <c r="D179" s="8">
        <v>430</v>
      </c>
      <c r="E179" s="9">
        <f t="shared" ref="E179:E182" si="14">B179*C179*D179</f>
        <v>15480</v>
      </c>
    </row>
    <row r="180" spans="1:5" x14ac:dyDescent="0.25">
      <c r="A180" s="7" t="s">
        <v>229</v>
      </c>
      <c r="B180" s="8">
        <v>10</v>
      </c>
      <c r="C180" s="8">
        <v>10</v>
      </c>
      <c r="D180" s="8">
        <v>80</v>
      </c>
      <c r="E180" s="9">
        <f t="shared" si="14"/>
        <v>8000</v>
      </c>
    </row>
    <row r="181" spans="1:5" x14ac:dyDescent="0.25">
      <c r="A181" s="7"/>
      <c r="B181" s="8"/>
      <c r="C181" s="8"/>
      <c r="D181" s="8"/>
      <c r="E181" s="9">
        <f t="shared" si="14"/>
        <v>0</v>
      </c>
    </row>
    <row r="182" spans="1:5" ht="15.75" thickBot="1" x14ac:dyDescent="0.3">
      <c r="A182" s="10"/>
      <c r="B182" s="11"/>
      <c r="C182" s="11"/>
      <c r="D182" s="11"/>
      <c r="E182" s="12">
        <f t="shared" si="14"/>
        <v>0</v>
      </c>
    </row>
    <row r="183" spans="1:5" ht="15.75" thickTop="1" x14ac:dyDescent="0.25">
      <c r="A183" s="13" t="s">
        <v>14</v>
      </c>
      <c r="B183" s="14"/>
      <c r="C183" s="14"/>
      <c r="D183" s="14"/>
      <c r="E183" s="15">
        <f>SUM(E179:E182)</f>
        <v>23480</v>
      </c>
    </row>
    <row r="184" spans="1:5" ht="15.75" thickBot="1" x14ac:dyDescent="0.3">
      <c r="A184" s="16" t="s">
        <v>15</v>
      </c>
      <c r="B184" s="16">
        <v>1728</v>
      </c>
      <c r="C184" s="16"/>
      <c r="D184" s="16"/>
      <c r="E184" s="17">
        <f>E183/B184</f>
        <v>13.587962962962964</v>
      </c>
    </row>
    <row r="185" spans="1:5" ht="15.75" thickBot="1" x14ac:dyDescent="0.3">
      <c r="A185" s="16" t="s">
        <v>16</v>
      </c>
      <c r="B185" s="16"/>
      <c r="C185" s="16"/>
      <c r="D185" s="18"/>
      <c r="E185" s="19">
        <v>60</v>
      </c>
    </row>
    <row r="186" spans="1:5" ht="15.75" thickBot="1" x14ac:dyDescent="0.3">
      <c r="A186" s="16" t="s">
        <v>17</v>
      </c>
      <c r="B186" s="20"/>
      <c r="C186" s="16"/>
      <c r="D186" s="16"/>
      <c r="E186" s="21">
        <f>E184*E185</f>
        <v>815.27777777777783</v>
      </c>
    </row>
    <row r="187" spans="1:5" ht="15.75" thickBot="1" x14ac:dyDescent="0.3">
      <c r="A187" s="18" t="s">
        <v>18</v>
      </c>
      <c r="B187" s="22">
        <v>0.3</v>
      </c>
      <c r="C187" s="23"/>
      <c r="D187" s="16"/>
      <c r="E187" s="24">
        <f>E186*B187</f>
        <v>244.58333333333334</v>
      </c>
    </row>
    <row r="188" spans="1:5" x14ac:dyDescent="0.25">
      <c r="A188" s="16" t="s">
        <v>19</v>
      </c>
      <c r="B188" s="13"/>
      <c r="C188" s="16"/>
      <c r="D188" s="16"/>
      <c r="E188" s="24">
        <f>SUM(E186:E187)</f>
        <v>1059.8611111111111</v>
      </c>
    </row>
    <row r="189" spans="1:5" ht="15.75" thickBot="1" x14ac:dyDescent="0.3">
      <c r="A189" s="25" t="s">
        <v>20</v>
      </c>
      <c r="B189" s="25"/>
      <c r="C189" s="25"/>
      <c r="D189" s="25"/>
      <c r="E189" s="26">
        <f>E188*1.0725</f>
        <v>1136.7010416666667</v>
      </c>
    </row>
    <row r="190" spans="1:5" ht="15.75" thickTop="1" x14ac:dyDescent="0.25">
      <c r="A190" s="16" t="s">
        <v>21</v>
      </c>
      <c r="B190" s="27">
        <v>6</v>
      </c>
      <c r="C190" s="28">
        <v>130</v>
      </c>
      <c r="D190" s="29">
        <f>B190*C190</f>
        <v>780</v>
      </c>
      <c r="E190" s="18"/>
    </row>
    <row r="191" spans="1:5" x14ac:dyDescent="0.25">
      <c r="A191" s="16" t="s">
        <v>22</v>
      </c>
      <c r="B191" s="27">
        <v>2</v>
      </c>
      <c r="C191" s="28">
        <v>700</v>
      </c>
      <c r="D191" s="29">
        <f>B191*C191</f>
        <v>1400</v>
      </c>
      <c r="E191" s="18"/>
    </row>
    <row r="192" spans="1:5" x14ac:dyDescent="0.25">
      <c r="A192" s="16" t="s">
        <v>23</v>
      </c>
      <c r="B192" s="27">
        <v>16</v>
      </c>
      <c r="C192" s="28">
        <v>70</v>
      </c>
      <c r="D192" s="29">
        <f>B192*C192</f>
        <v>1120</v>
      </c>
      <c r="E192" s="18"/>
    </row>
    <row r="193" spans="1:12" x14ac:dyDescent="0.25">
      <c r="A193" s="16" t="s">
        <v>24</v>
      </c>
      <c r="B193" s="27">
        <v>0</v>
      </c>
      <c r="C193" s="28">
        <v>400</v>
      </c>
      <c r="D193" s="29">
        <f>B193*C193</f>
        <v>0</v>
      </c>
      <c r="E193" s="18"/>
    </row>
    <row r="194" spans="1:12" ht="15.75" thickBot="1" x14ac:dyDescent="0.3">
      <c r="A194" s="25" t="s">
        <v>25</v>
      </c>
      <c r="B194" s="30">
        <v>2</v>
      </c>
      <c r="C194" s="31">
        <v>100</v>
      </c>
      <c r="D194" s="32">
        <f>B194*C194</f>
        <v>200</v>
      </c>
      <c r="E194" s="12"/>
    </row>
    <row r="195" spans="1:12" ht="16.5" thickTop="1" thickBot="1" x14ac:dyDescent="0.3">
      <c r="A195" s="33" t="s">
        <v>26</v>
      </c>
      <c r="B195" s="33"/>
      <c r="C195" s="34"/>
      <c r="D195" s="35"/>
      <c r="E195" s="36">
        <f>SUM(D190:D194)</f>
        <v>3500</v>
      </c>
    </row>
    <row r="196" spans="1:12" x14ac:dyDescent="0.25">
      <c r="A196" s="13" t="s">
        <v>27</v>
      </c>
      <c r="B196" s="13"/>
      <c r="C196" s="13"/>
      <c r="D196" s="37"/>
      <c r="E196" s="38">
        <v>25</v>
      </c>
    </row>
    <row r="197" spans="1:12" x14ac:dyDescent="0.25">
      <c r="A197" s="16" t="s">
        <v>28</v>
      </c>
      <c r="B197" s="16"/>
      <c r="C197" s="16"/>
      <c r="D197" s="29"/>
      <c r="E197" s="39">
        <f>E189+E195+E196</f>
        <v>4661.7010416666672</v>
      </c>
    </row>
    <row r="198" spans="1:12" ht="15.75" thickBot="1" x14ac:dyDescent="0.3">
      <c r="A198" s="9" t="s">
        <v>29</v>
      </c>
      <c r="B198" s="40">
        <v>0.27</v>
      </c>
      <c r="C198" s="41"/>
      <c r="D198" s="42"/>
      <c r="E198" s="21">
        <f>E197*B198</f>
        <v>1258.6592812500003</v>
      </c>
    </row>
    <row r="199" spans="1:12" x14ac:dyDescent="0.25">
      <c r="A199" s="16" t="s">
        <v>30</v>
      </c>
      <c r="B199" s="43"/>
      <c r="C199" s="16"/>
      <c r="D199" s="29"/>
      <c r="E199" s="24">
        <f>SUM(E197:E198)</f>
        <v>5920.3603229166674</v>
      </c>
    </row>
    <row r="200" spans="1:12" x14ac:dyDescent="0.25">
      <c r="A200" s="16" t="s">
        <v>31</v>
      </c>
      <c r="B200" s="44">
        <v>0.15</v>
      </c>
      <c r="C200" s="16"/>
      <c r="D200" s="16"/>
      <c r="E200" s="24">
        <f>E199*B200</f>
        <v>888.05404843750011</v>
      </c>
    </row>
    <row r="201" spans="1:12" x14ac:dyDescent="0.25">
      <c r="A201" s="45" t="s">
        <v>32</v>
      </c>
      <c r="B201" s="45"/>
      <c r="C201" s="45"/>
      <c r="D201" s="45"/>
      <c r="E201" s="46">
        <f>SUM(E199:E200)</f>
        <v>6808.4143713541671</v>
      </c>
    </row>
    <row r="202" spans="1:12" ht="15.75" thickBot="1" x14ac:dyDescent="0.3"/>
    <row r="203" spans="1:12" ht="15.75" thickBot="1" x14ac:dyDescent="0.3">
      <c r="A203" s="348" t="s">
        <v>266</v>
      </c>
    </row>
    <row r="204" spans="1:12" ht="16.5" thickBot="1" x14ac:dyDescent="0.3">
      <c r="A204" s="342" t="s">
        <v>0</v>
      </c>
      <c r="B204" s="395" t="s">
        <v>235</v>
      </c>
      <c r="C204" s="395"/>
      <c r="D204" s="396"/>
      <c r="E204" s="397" t="s">
        <v>44</v>
      </c>
      <c r="F204" s="398"/>
      <c r="G204" s="398"/>
      <c r="H204" s="398"/>
      <c r="I204" s="399"/>
    </row>
    <row r="205" spans="1:12" ht="15.75" x14ac:dyDescent="0.25">
      <c r="A205" s="1" t="s">
        <v>1</v>
      </c>
      <c r="B205" s="395" t="s">
        <v>100</v>
      </c>
      <c r="C205" s="395"/>
      <c r="D205" s="396"/>
      <c r="E205" s="400" t="s">
        <v>263</v>
      </c>
      <c r="F205" s="401"/>
      <c r="G205" s="401"/>
      <c r="H205" s="401"/>
      <c r="I205" s="402"/>
    </row>
    <row r="206" spans="1:12" ht="15.75" x14ac:dyDescent="0.25">
      <c r="A206" s="2" t="s">
        <v>45</v>
      </c>
      <c r="B206" s="396"/>
      <c r="C206" s="403"/>
      <c r="D206" s="403"/>
      <c r="E206" s="390"/>
      <c r="F206" s="391"/>
      <c r="G206" s="391"/>
      <c r="H206" s="391"/>
      <c r="I206" s="392"/>
    </row>
    <row r="207" spans="1:12" ht="15.75" x14ac:dyDescent="0.25">
      <c r="A207" s="2" t="s">
        <v>2</v>
      </c>
      <c r="B207" s="388">
        <v>45663</v>
      </c>
      <c r="C207" s="388"/>
      <c r="D207" s="389"/>
      <c r="E207" s="390"/>
      <c r="F207" s="391"/>
      <c r="G207" s="391"/>
      <c r="H207" s="391"/>
      <c r="I207" s="392"/>
    </row>
    <row r="208" spans="1:12" ht="15.75" x14ac:dyDescent="0.25">
      <c r="A208" s="70" t="s">
        <v>46</v>
      </c>
      <c r="B208" s="393"/>
      <c r="C208" s="394"/>
      <c r="D208" s="394"/>
      <c r="E208" s="390"/>
      <c r="F208" s="391"/>
      <c r="G208" s="391"/>
      <c r="H208" s="391"/>
      <c r="I208" s="392"/>
      <c r="L208" t="s">
        <v>264</v>
      </c>
    </row>
    <row r="209" spans="1:22" ht="15.75" x14ac:dyDescent="0.25">
      <c r="A209" s="70" t="s">
        <v>47</v>
      </c>
      <c r="B209" s="393" t="s">
        <v>101</v>
      </c>
      <c r="C209" s="394"/>
      <c r="D209" s="394"/>
      <c r="E209" s="390"/>
      <c r="F209" s="391"/>
      <c r="G209" s="391"/>
      <c r="H209" s="391"/>
      <c r="I209" s="392"/>
    </row>
    <row r="210" spans="1:22" ht="16.5" thickBot="1" x14ac:dyDescent="0.3">
      <c r="A210" s="71" t="s">
        <v>8</v>
      </c>
      <c r="B210" s="376">
        <v>8776</v>
      </c>
      <c r="C210" s="377"/>
      <c r="D210" s="377"/>
      <c r="E210" s="378"/>
      <c r="F210" s="379"/>
      <c r="G210" s="379"/>
      <c r="H210" s="379"/>
      <c r="I210" s="380"/>
    </row>
    <row r="211" spans="1:22" ht="15.75" thickBot="1" x14ac:dyDescent="0.3">
      <c r="A211" s="72" t="s">
        <v>48</v>
      </c>
      <c r="B211" s="381" t="s">
        <v>49</v>
      </c>
      <c r="C211" s="382"/>
      <c r="D211" s="382"/>
      <c r="E211" s="382"/>
      <c r="F211" s="383"/>
      <c r="G211" s="73"/>
      <c r="H211" s="73"/>
      <c r="I211" s="384" t="s">
        <v>50</v>
      </c>
      <c r="J211" s="385"/>
      <c r="K211" s="367" t="s">
        <v>52</v>
      </c>
      <c r="L211" s="367"/>
      <c r="M211" s="367"/>
      <c r="N211" s="368"/>
      <c r="O211" s="367"/>
      <c r="P211" s="369"/>
      <c r="Q211" s="370" t="s">
        <v>124</v>
      </c>
      <c r="R211" s="367"/>
      <c r="S211" s="367"/>
      <c r="T211" s="370" t="s">
        <v>53</v>
      </c>
      <c r="U211" s="367"/>
      <c r="V211" s="369"/>
    </row>
    <row r="212" spans="1:22" ht="45.75" thickBot="1" x14ac:dyDescent="0.3">
      <c r="A212" s="75" t="s">
        <v>56</v>
      </c>
      <c r="B212" s="76" t="s">
        <v>57</v>
      </c>
      <c r="C212" s="77" t="s">
        <v>58</v>
      </c>
      <c r="D212" s="78" t="s">
        <v>59</v>
      </c>
      <c r="E212" s="79" t="s">
        <v>60</v>
      </c>
      <c r="F212" s="79" t="s">
        <v>61</v>
      </c>
      <c r="G212" s="210" t="s">
        <v>107</v>
      </c>
      <c r="H212" s="80" t="s">
        <v>62</v>
      </c>
      <c r="I212" s="81" t="s">
        <v>63</v>
      </c>
      <c r="J212" s="82" t="s">
        <v>64</v>
      </c>
      <c r="K212" s="317" t="s">
        <v>206</v>
      </c>
      <c r="L212" s="317" t="s">
        <v>207</v>
      </c>
      <c r="M212" s="86" t="s">
        <v>104</v>
      </c>
      <c r="N212" s="207" t="s">
        <v>105</v>
      </c>
      <c r="O212" s="208" t="s">
        <v>106</v>
      </c>
      <c r="P212" s="216" t="s">
        <v>68</v>
      </c>
      <c r="Q212" s="87" t="s">
        <v>69</v>
      </c>
      <c r="R212" s="87" t="s">
        <v>70</v>
      </c>
      <c r="S212" s="74" t="s">
        <v>71</v>
      </c>
      <c r="T212" s="87" t="s">
        <v>72</v>
      </c>
      <c r="U212" s="87" t="s">
        <v>73</v>
      </c>
      <c r="V212" s="87" t="s">
        <v>74</v>
      </c>
    </row>
    <row r="213" spans="1:22" x14ac:dyDescent="0.25">
      <c r="A213" s="93" t="s">
        <v>236</v>
      </c>
      <c r="B213" s="94">
        <v>36</v>
      </c>
      <c r="C213" s="95">
        <v>1.25</v>
      </c>
      <c r="D213" s="96">
        <f t="shared" ref="D213" si="15">B213*C213</f>
        <v>45</v>
      </c>
      <c r="E213" s="97"/>
      <c r="F213" s="340">
        <f t="shared" ref="F213:F234" si="16">C213*E213</f>
        <v>0</v>
      </c>
      <c r="G213" s="341" t="s">
        <v>108</v>
      </c>
      <c r="H213" s="98"/>
      <c r="I213" s="99">
        <f>B213</f>
        <v>36</v>
      </c>
      <c r="J213" s="100"/>
      <c r="K213" s="104"/>
      <c r="L213" s="318"/>
      <c r="M213" s="105">
        <v>36</v>
      </c>
      <c r="N213" s="106"/>
      <c r="O213" s="105"/>
      <c r="P213" s="105"/>
      <c r="Q213" s="107"/>
      <c r="R213" s="108"/>
      <c r="S213" s="109">
        <f t="shared" ref="S213:S234" si="17">Q213*R213</f>
        <v>0</v>
      </c>
      <c r="T213" s="110"/>
      <c r="U213" s="110"/>
      <c r="V213" s="111">
        <f>T213*U213</f>
        <v>0</v>
      </c>
    </row>
    <row r="214" spans="1:22" x14ac:dyDescent="0.25">
      <c r="A214" s="273" t="s">
        <v>237</v>
      </c>
      <c r="B214" s="94"/>
      <c r="C214" s="95"/>
      <c r="D214" s="96">
        <f>B214*C214-H214</f>
        <v>0</v>
      </c>
      <c r="E214" s="97"/>
      <c r="F214" s="211">
        <f t="shared" si="16"/>
        <v>0</v>
      </c>
      <c r="G214" s="341" t="s">
        <v>108</v>
      </c>
      <c r="H214" s="118"/>
      <c r="I214" s="99">
        <f t="shared" ref="I214:I234" si="18">B214</f>
        <v>0</v>
      </c>
      <c r="J214" s="93"/>
      <c r="K214" s="104"/>
      <c r="L214" s="318"/>
      <c r="M214" s="105"/>
      <c r="N214" s="106"/>
      <c r="O214" s="105"/>
      <c r="P214" s="105"/>
      <c r="Q214" s="122"/>
      <c r="R214" s="123"/>
      <c r="S214" s="105">
        <f t="shared" si="17"/>
        <v>0</v>
      </c>
      <c r="T214" s="123"/>
      <c r="U214" s="123"/>
      <c r="V214" s="124">
        <f t="shared" ref="V214" si="19">T214*U214</f>
        <v>0</v>
      </c>
    </row>
    <row r="215" spans="1:22" x14ac:dyDescent="0.25">
      <c r="A215" s="273" t="s">
        <v>238</v>
      </c>
      <c r="B215" s="94"/>
      <c r="C215" s="95"/>
      <c r="D215" s="96">
        <f t="shared" ref="D215" si="20">B215*C215</f>
        <v>0</v>
      </c>
      <c r="E215" s="97"/>
      <c r="F215" s="211">
        <f t="shared" si="16"/>
        <v>0</v>
      </c>
      <c r="G215" s="341" t="s">
        <v>108</v>
      </c>
      <c r="H215" s="118"/>
      <c r="I215" s="99">
        <f t="shared" si="18"/>
        <v>0</v>
      </c>
      <c r="J215" s="93"/>
      <c r="K215" s="104"/>
      <c r="L215" s="318"/>
      <c r="M215" s="105"/>
      <c r="N215" s="106"/>
      <c r="O215" s="105"/>
      <c r="P215" s="105"/>
      <c r="Q215" s="122"/>
      <c r="R215" s="123"/>
      <c r="S215" s="105">
        <f t="shared" si="17"/>
        <v>0</v>
      </c>
      <c r="T215" s="123"/>
      <c r="U215" s="123"/>
      <c r="V215" s="124"/>
    </row>
    <row r="216" spans="1:22" x14ac:dyDescent="0.25">
      <c r="A216" s="93" t="s">
        <v>239</v>
      </c>
      <c r="B216" s="94">
        <v>3</v>
      </c>
      <c r="C216" s="95">
        <v>2</v>
      </c>
      <c r="D216" s="96">
        <f>B216*C216-H216</f>
        <v>6</v>
      </c>
      <c r="E216" s="97"/>
      <c r="F216" s="211">
        <f t="shared" si="16"/>
        <v>0</v>
      </c>
      <c r="G216" s="341" t="s">
        <v>108</v>
      </c>
      <c r="H216" s="118"/>
      <c r="I216" s="99">
        <f t="shared" si="18"/>
        <v>3</v>
      </c>
      <c r="J216" s="93"/>
      <c r="K216" s="104"/>
      <c r="L216" s="318"/>
      <c r="M216" s="105">
        <v>3</v>
      </c>
      <c r="N216" s="106"/>
      <c r="O216" s="105"/>
      <c r="P216" s="105"/>
      <c r="Q216" s="122"/>
      <c r="R216" s="123"/>
      <c r="S216" s="105">
        <f t="shared" si="17"/>
        <v>0</v>
      </c>
      <c r="T216" s="123"/>
      <c r="U216" s="123"/>
      <c r="V216" s="124">
        <f t="shared" ref="V216:V234" si="21">T216*U216</f>
        <v>0</v>
      </c>
    </row>
    <row r="217" spans="1:22" x14ac:dyDescent="0.25">
      <c r="A217" s="93" t="s">
        <v>240</v>
      </c>
      <c r="B217" s="94">
        <v>23</v>
      </c>
      <c r="C217" s="95">
        <v>2.5</v>
      </c>
      <c r="D217" s="96">
        <f t="shared" ref="D217:D226" si="22">B217*C217</f>
        <v>57.5</v>
      </c>
      <c r="E217" s="97"/>
      <c r="F217" s="211">
        <f t="shared" si="16"/>
        <v>0</v>
      </c>
      <c r="G217" s="341" t="s">
        <v>108</v>
      </c>
      <c r="H217" s="118"/>
      <c r="I217" s="99">
        <f t="shared" si="18"/>
        <v>23</v>
      </c>
      <c r="J217" s="93"/>
      <c r="K217" s="104"/>
      <c r="L217" s="318"/>
      <c r="M217" s="105">
        <v>23</v>
      </c>
      <c r="N217" s="106"/>
      <c r="O217" s="105"/>
      <c r="P217" s="105"/>
      <c r="Q217" s="122"/>
      <c r="R217" s="123"/>
      <c r="S217" s="105">
        <f t="shared" si="17"/>
        <v>0</v>
      </c>
      <c r="T217" s="123"/>
      <c r="U217" s="123"/>
      <c r="V217" s="124">
        <f t="shared" si="21"/>
        <v>0</v>
      </c>
    </row>
    <row r="218" spans="1:22" x14ac:dyDescent="0.25">
      <c r="A218" s="93" t="s">
        <v>241</v>
      </c>
      <c r="B218" s="94">
        <v>14</v>
      </c>
      <c r="C218" s="95">
        <v>3</v>
      </c>
      <c r="D218" s="96">
        <f t="shared" si="22"/>
        <v>42</v>
      </c>
      <c r="E218" s="97"/>
      <c r="F218" s="211">
        <f t="shared" si="16"/>
        <v>0</v>
      </c>
      <c r="G218" s="341" t="s">
        <v>108</v>
      </c>
      <c r="H218" s="118"/>
      <c r="I218" s="99">
        <f t="shared" si="18"/>
        <v>14</v>
      </c>
      <c r="J218" s="93"/>
      <c r="K218" s="104"/>
      <c r="L218" s="318"/>
      <c r="M218" s="105">
        <v>14</v>
      </c>
      <c r="N218" s="106"/>
      <c r="O218" s="105"/>
      <c r="P218" s="105"/>
      <c r="Q218" s="122"/>
      <c r="R218" s="123"/>
      <c r="S218" s="105">
        <f t="shared" si="17"/>
        <v>0</v>
      </c>
      <c r="T218" s="123"/>
      <c r="U218" s="123"/>
      <c r="V218" s="124">
        <f t="shared" si="21"/>
        <v>0</v>
      </c>
    </row>
    <row r="219" spans="1:22" x14ac:dyDescent="0.25">
      <c r="A219" s="273" t="s">
        <v>242</v>
      </c>
      <c r="B219" s="94"/>
      <c r="C219" s="95"/>
      <c r="D219" s="96">
        <f t="shared" si="22"/>
        <v>0</v>
      </c>
      <c r="E219" s="97"/>
      <c r="F219" s="211">
        <f t="shared" si="16"/>
        <v>0</v>
      </c>
      <c r="G219" s="341" t="s">
        <v>108</v>
      </c>
      <c r="H219" s="118"/>
      <c r="I219" s="99">
        <f t="shared" si="18"/>
        <v>0</v>
      </c>
      <c r="J219" s="93"/>
      <c r="K219" s="104"/>
      <c r="L219" s="318"/>
      <c r="M219" s="105"/>
      <c r="N219" s="106"/>
      <c r="O219" s="105"/>
      <c r="P219" s="105"/>
      <c r="Q219" s="122"/>
      <c r="R219" s="123"/>
      <c r="S219" s="105">
        <f t="shared" si="17"/>
        <v>0</v>
      </c>
      <c r="T219" s="123"/>
      <c r="U219" s="123"/>
      <c r="V219" s="124">
        <f t="shared" si="21"/>
        <v>0</v>
      </c>
    </row>
    <row r="220" spans="1:22" x14ac:dyDescent="0.25">
      <c r="A220" s="273" t="s">
        <v>242</v>
      </c>
      <c r="B220" s="94"/>
      <c r="C220" s="95"/>
      <c r="D220" s="96">
        <f t="shared" si="22"/>
        <v>0</v>
      </c>
      <c r="E220" s="97"/>
      <c r="F220" s="211">
        <f t="shared" si="16"/>
        <v>0</v>
      </c>
      <c r="G220" s="341" t="s">
        <v>108</v>
      </c>
      <c r="H220" s="118"/>
      <c r="I220" s="99">
        <f t="shared" si="18"/>
        <v>0</v>
      </c>
      <c r="J220" s="93"/>
      <c r="K220" s="104"/>
      <c r="L220" s="318"/>
      <c r="M220" s="105"/>
      <c r="N220" s="106"/>
      <c r="O220" s="105"/>
      <c r="P220" s="105"/>
      <c r="Q220" s="122"/>
      <c r="R220" s="123"/>
      <c r="S220" s="105">
        <f t="shared" si="17"/>
        <v>0</v>
      </c>
      <c r="T220" s="123"/>
      <c r="U220" s="123"/>
      <c r="V220" s="124">
        <f t="shared" si="21"/>
        <v>0</v>
      </c>
    </row>
    <row r="221" spans="1:22" x14ac:dyDescent="0.25">
      <c r="A221" s="273" t="s">
        <v>242</v>
      </c>
      <c r="B221" s="94"/>
      <c r="C221" s="95"/>
      <c r="D221" s="96">
        <f t="shared" si="22"/>
        <v>0</v>
      </c>
      <c r="E221" s="97"/>
      <c r="F221" s="211">
        <f t="shared" si="16"/>
        <v>0</v>
      </c>
      <c r="G221" s="341" t="s">
        <v>108</v>
      </c>
      <c r="H221" s="118"/>
      <c r="I221" s="99">
        <f t="shared" si="18"/>
        <v>0</v>
      </c>
      <c r="J221" s="93"/>
      <c r="K221" s="104"/>
      <c r="L221" s="318"/>
      <c r="M221" s="105"/>
      <c r="N221" s="106"/>
      <c r="O221" s="105"/>
      <c r="P221" s="105"/>
      <c r="Q221" s="122"/>
      <c r="R221" s="123"/>
      <c r="S221" s="105">
        <f t="shared" si="17"/>
        <v>0</v>
      </c>
      <c r="T221" s="123"/>
      <c r="U221" s="123"/>
      <c r="V221" s="124">
        <f t="shared" si="21"/>
        <v>0</v>
      </c>
    </row>
    <row r="222" spans="1:22" x14ac:dyDescent="0.25">
      <c r="A222" s="273" t="s">
        <v>244</v>
      </c>
      <c r="B222" s="94"/>
      <c r="C222" s="95"/>
      <c r="D222" s="96">
        <f t="shared" si="22"/>
        <v>0</v>
      </c>
      <c r="E222" s="97"/>
      <c r="F222" s="211">
        <f t="shared" si="16"/>
        <v>0</v>
      </c>
      <c r="G222" s="341" t="s">
        <v>108</v>
      </c>
      <c r="H222" s="118"/>
      <c r="I222" s="99">
        <f t="shared" si="18"/>
        <v>0</v>
      </c>
      <c r="J222" s="93"/>
      <c r="K222" s="104"/>
      <c r="L222" s="318"/>
      <c r="M222" s="105"/>
      <c r="N222" s="106"/>
      <c r="O222" s="105"/>
      <c r="P222" s="105"/>
      <c r="Q222" s="122"/>
      <c r="R222" s="123"/>
      <c r="S222" s="105">
        <f t="shared" si="17"/>
        <v>0</v>
      </c>
      <c r="T222" s="123"/>
      <c r="U222" s="123"/>
      <c r="V222" s="124">
        <f t="shared" si="21"/>
        <v>0</v>
      </c>
    </row>
    <row r="223" spans="1:22" x14ac:dyDescent="0.25">
      <c r="A223" s="273" t="s">
        <v>243</v>
      </c>
      <c r="B223" s="94"/>
      <c r="C223" s="95"/>
      <c r="D223" s="96">
        <f t="shared" si="22"/>
        <v>0</v>
      </c>
      <c r="E223" s="97"/>
      <c r="F223" s="211">
        <f t="shared" si="16"/>
        <v>0</v>
      </c>
      <c r="G223" s="341" t="s">
        <v>108</v>
      </c>
      <c r="H223" s="118"/>
      <c r="I223" s="99">
        <f t="shared" si="18"/>
        <v>0</v>
      </c>
      <c r="J223" s="93"/>
      <c r="K223" s="104"/>
      <c r="L223" s="318"/>
      <c r="M223" s="105"/>
      <c r="N223" s="106"/>
      <c r="O223" s="105"/>
      <c r="P223" s="105"/>
      <c r="Q223" s="122"/>
      <c r="R223" s="123"/>
      <c r="S223" s="105">
        <f t="shared" si="17"/>
        <v>0</v>
      </c>
      <c r="T223" s="123"/>
      <c r="U223" s="123"/>
      <c r="V223" s="124">
        <f t="shared" si="21"/>
        <v>0</v>
      </c>
    </row>
    <row r="224" spans="1:22" x14ac:dyDescent="0.25">
      <c r="A224" s="273" t="s">
        <v>243</v>
      </c>
      <c r="B224" s="94"/>
      <c r="C224" s="95"/>
      <c r="D224" s="96">
        <f t="shared" si="22"/>
        <v>0</v>
      </c>
      <c r="E224" s="97"/>
      <c r="F224" s="211">
        <f t="shared" si="16"/>
        <v>0</v>
      </c>
      <c r="G224" s="341" t="s">
        <v>108</v>
      </c>
      <c r="H224" s="118"/>
      <c r="I224" s="99">
        <f t="shared" si="18"/>
        <v>0</v>
      </c>
      <c r="J224" s="93"/>
      <c r="K224" s="104"/>
      <c r="L224" s="318"/>
      <c r="M224" s="105"/>
      <c r="N224" s="106"/>
      <c r="O224" s="105"/>
      <c r="P224" s="105"/>
      <c r="Q224" s="122"/>
      <c r="R224" s="123"/>
      <c r="S224" s="105">
        <f t="shared" si="17"/>
        <v>0</v>
      </c>
      <c r="T224" s="123"/>
      <c r="U224" s="123"/>
      <c r="V224" s="124">
        <f t="shared" si="21"/>
        <v>0</v>
      </c>
    </row>
    <row r="225" spans="1:22" x14ac:dyDescent="0.25">
      <c r="A225" s="273" t="s">
        <v>243</v>
      </c>
      <c r="B225" s="94"/>
      <c r="C225" s="95"/>
      <c r="D225" s="96">
        <f t="shared" si="22"/>
        <v>0</v>
      </c>
      <c r="E225" s="97"/>
      <c r="F225" s="211">
        <f t="shared" si="16"/>
        <v>0</v>
      </c>
      <c r="G225" s="341" t="s">
        <v>108</v>
      </c>
      <c r="H225" s="118"/>
      <c r="I225" s="99">
        <f t="shared" si="18"/>
        <v>0</v>
      </c>
      <c r="J225" s="93"/>
      <c r="K225" s="104"/>
      <c r="L225" s="318"/>
      <c r="M225" s="105"/>
      <c r="N225" s="106"/>
      <c r="O225" s="105"/>
      <c r="P225" s="105"/>
      <c r="Q225" s="122"/>
      <c r="R225" s="123"/>
      <c r="S225" s="105">
        <f t="shared" si="17"/>
        <v>0</v>
      </c>
      <c r="T225" s="123"/>
      <c r="U225" s="123"/>
      <c r="V225" s="124">
        <f t="shared" si="21"/>
        <v>0</v>
      </c>
    </row>
    <row r="226" spans="1:22" x14ac:dyDescent="0.25">
      <c r="A226" s="93" t="s">
        <v>246</v>
      </c>
      <c r="B226" s="94">
        <v>29</v>
      </c>
      <c r="C226" s="95">
        <v>1.5</v>
      </c>
      <c r="D226" s="96">
        <f t="shared" si="22"/>
        <v>43.5</v>
      </c>
      <c r="E226" s="97"/>
      <c r="F226" s="211">
        <f t="shared" si="16"/>
        <v>0</v>
      </c>
      <c r="G226" s="341" t="s">
        <v>108</v>
      </c>
      <c r="H226" s="118"/>
      <c r="I226" s="99">
        <f t="shared" si="18"/>
        <v>29</v>
      </c>
      <c r="J226" s="93"/>
      <c r="K226" s="104"/>
      <c r="L226" s="318"/>
      <c r="M226" s="105">
        <v>29</v>
      </c>
      <c r="N226" s="106"/>
      <c r="O226" s="105"/>
      <c r="P226" s="105"/>
      <c r="Q226" s="122"/>
      <c r="R226" s="123"/>
      <c r="S226" s="105">
        <f t="shared" si="17"/>
        <v>0</v>
      </c>
      <c r="T226" s="123"/>
      <c r="U226" s="123"/>
      <c r="V226" s="124">
        <f t="shared" si="21"/>
        <v>0</v>
      </c>
    </row>
    <row r="227" spans="1:22" x14ac:dyDescent="0.25">
      <c r="A227" s="93" t="s">
        <v>245</v>
      </c>
      <c r="B227" s="94">
        <v>42</v>
      </c>
      <c r="C227" s="95">
        <v>0.75</v>
      </c>
      <c r="D227" s="96">
        <f>B227*C227-H227</f>
        <v>31.5</v>
      </c>
      <c r="E227" s="97"/>
      <c r="F227" s="211">
        <f t="shared" si="16"/>
        <v>0</v>
      </c>
      <c r="G227" s="341" t="s">
        <v>108</v>
      </c>
      <c r="H227" s="118"/>
      <c r="I227" s="99">
        <f t="shared" si="18"/>
        <v>42</v>
      </c>
      <c r="J227" s="93"/>
      <c r="K227" s="104"/>
      <c r="L227" s="318"/>
      <c r="M227" s="105">
        <v>42</v>
      </c>
      <c r="N227" s="106"/>
      <c r="O227" s="105"/>
      <c r="P227" s="105"/>
      <c r="Q227" s="122"/>
      <c r="R227" s="123"/>
      <c r="S227" s="105">
        <f t="shared" si="17"/>
        <v>0</v>
      </c>
      <c r="T227" s="123"/>
      <c r="U227" s="123"/>
      <c r="V227" s="124">
        <f t="shared" si="21"/>
        <v>0</v>
      </c>
    </row>
    <row r="228" spans="1:22" x14ac:dyDescent="0.25">
      <c r="A228" s="273" t="s">
        <v>247</v>
      </c>
      <c r="B228" s="94"/>
      <c r="C228" s="95"/>
      <c r="D228" s="96">
        <f t="shared" ref="D228:D234" si="23">B228*C228</f>
        <v>0</v>
      </c>
      <c r="E228" s="97"/>
      <c r="F228" s="211">
        <f t="shared" si="16"/>
        <v>0</v>
      </c>
      <c r="G228" s="341" t="s">
        <v>108</v>
      </c>
      <c r="H228" s="118"/>
      <c r="I228" s="99">
        <f t="shared" si="18"/>
        <v>0</v>
      </c>
      <c r="J228" s="93"/>
      <c r="K228" s="104"/>
      <c r="L228" s="318"/>
      <c r="M228" s="105"/>
      <c r="N228" s="106"/>
      <c r="O228" s="105"/>
      <c r="P228" s="105"/>
      <c r="Q228" s="122"/>
      <c r="R228" s="123"/>
      <c r="S228" s="105">
        <f t="shared" si="17"/>
        <v>0</v>
      </c>
      <c r="T228" s="123"/>
      <c r="U228" s="123"/>
      <c r="V228" s="124">
        <f t="shared" si="21"/>
        <v>0</v>
      </c>
    </row>
    <row r="229" spans="1:22" x14ac:dyDescent="0.25">
      <c r="A229" s="273" t="s">
        <v>248</v>
      </c>
      <c r="B229" s="94"/>
      <c r="C229" s="95"/>
      <c r="D229" s="96">
        <f t="shared" si="23"/>
        <v>0</v>
      </c>
      <c r="E229" s="97"/>
      <c r="F229" s="211">
        <f t="shared" si="16"/>
        <v>0</v>
      </c>
      <c r="G229" s="341" t="s">
        <v>108</v>
      </c>
      <c r="H229" s="118"/>
      <c r="I229" s="99">
        <f t="shared" si="18"/>
        <v>0</v>
      </c>
      <c r="J229" s="93"/>
      <c r="K229" s="104"/>
      <c r="L229" s="318"/>
      <c r="M229" s="105"/>
      <c r="N229" s="106"/>
      <c r="O229" s="105"/>
      <c r="P229" s="105"/>
      <c r="Q229" s="122"/>
      <c r="R229" s="123"/>
      <c r="S229" s="105">
        <f t="shared" si="17"/>
        <v>0</v>
      </c>
      <c r="T229" s="123"/>
      <c r="U229" s="123"/>
      <c r="V229" s="124">
        <f t="shared" si="21"/>
        <v>0</v>
      </c>
    </row>
    <row r="230" spans="1:22" x14ac:dyDescent="0.25">
      <c r="A230" s="93"/>
      <c r="B230" s="94"/>
      <c r="C230" s="95"/>
      <c r="D230" s="96">
        <f t="shared" si="23"/>
        <v>0</v>
      </c>
      <c r="E230" s="97"/>
      <c r="F230" s="211">
        <f t="shared" si="16"/>
        <v>0</v>
      </c>
      <c r="G230" s="341" t="s">
        <v>108</v>
      </c>
      <c r="H230" s="118"/>
      <c r="I230" s="99">
        <f t="shared" si="18"/>
        <v>0</v>
      </c>
      <c r="J230" s="93"/>
      <c r="K230" s="104"/>
      <c r="L230" s="318"/>
      <c r="M230" s="105"/>
      <c r="N230" s="106"/>
      <c r="O230" s="105"/>
      <c r="P230" s="105"/>
      <c r="Q230" s="122"/>
      <c r="R230" s="123"/>
      <c r="S230" s="105">
        <f t="shared" si="17"/>
        <v>0</v>
      </c>
      <c r="T230" s="123"/>
      <c r="U230" s="123"/>
      <c r="V230" s="124">
        <f t="shared" si="21"/>
        <v>0</v>
      </c>
    </row>
    <row r="231" spans="1:22" x14ac:dyDescent="0.25">
      <c r="A231" s="93"/>
      <c r="B231" s="94"/>
      <c r="C231" s="95"/>
      <c r="D231" s="96">
        <f t="shared" si="23"/>
        <v>0</v>
      </c>
      <c r="E231" s="97"/>
      <c r="F231" s="211">
        <f t="shared" si="16"/>
        <v>0</v>
      </c>
      <c r="G231" s="341" t="s">
        <v>108</v>
      </c>
      <c r="H231" s="118"/>
      <c r="I231" s="99">
        <f t="shared" si="18"/>
        <v>0</v>
      </c>
      <c r="J231" s="93"/>
      <c r="K231" s="104"/>
      <c r="L231" s="318"/>
      <c r="M231" s="105"/>
      <c r="N231" s="106"/>
      <c r="O231" s="105"/>
      <c r="P231" s="105"/>
      <c r="Q231" s="122"/>
      <c r="R231" s="123"/>
      <c r="S231" s="105">
        <f t="shared" si="17"/>
        <v>0</v>
      </c>
      <c r="T231" s="123"/>
      <c r="U231" s="123"/>
      <c r="V231" s="124">
        <f t="shared" si="21"/>
        <v>0</v>
      </c>
    </row>
    <row r="232" spans="1:22" ht="15.75" thickBot="1" x14ac:dyDescent="0.3">
      <c r="A232" s="93"/>
      <c r="B232" s="94"/>
      <c r="C232" s="95"/>
      <c r="D232" s="96">
        <f t="shared" si="23"/>
        <v>0</v>
      </c>
      <c r="E232" s="97"/>
      <c r="F232" s="212">
        <f t="shared" si="16"/>
        <v>0</v>
      </c>
      <c r="G232" s="214"/>
      <c r="H232" s="125">
        <f t="shared" ref="H232:H233" si="24">SUM(F232)</f>
        <v>0</v>
      </c>
      <c r="I232" s="99">
        <f t="shared" si="18"/>
        <v>0</v>
      </c>
      <c r="J232" s="127"/>
      <c r="K232" s="104"/>
      <c r="L232" s="318"/>
      <c r="M232" s="105"/>
      <c r="N232" s="105"/>
      <c r="O232" s="105"/>
      <c r="P232" s="105"/>
      <c r="Q232" s="131"/>
      <c r="R232" s="132"/>
      <c r="S232" s="133">
        <f t="shared" si="17"/>
        <v>0</v>
      </c>
      <c r="T232" s="134"/>
      <c r="U232" s="134"/>
      <c r="V232" s="135">
        <f t="shared" si="21"/>
        <v>0</v>
      </c>
    </row>
    <row r="233" spans="1:22" ht="15.75" thickBot="1" x14ac:dyDescent="0.3">
      <c r="A233" s="93"/>
      <c r="B233" s="94"/>
      <c r="C233" s="95"/>
      <c r="D233" s="96">
        <f t="shared" si="23"/>
        <v>0</v>
      </c>
      <c r="E233" s="97"/>
      <c r="F233" s="212">
        <f t="shared" si="16"/>
        <v>0</v>
      </c>
      <c r="G233" s="214"/>
      <c r="H233" s="125">
        <f t="shared" si="24"/>
        <v>0</v>
      </c>
      <c r="I233" s="99">
        <f t="shared" si="18"/>
        <v>0</v>
      </c>
      <c r="J233" s="127"/>
      <c r="K233" s="104"/>
      <c r="L233" s="318"/>
      <c r="M233" s="105"/>
      <c r="N233" s="105"/>
      <c r="O233" s="105"/>
      <c r="P233" s="105"/>
      <c r="Q233" s="131"/>
      <c r="R233" s="132"/>
      <c r="S233" s="133">
        <f t="shared" si="17"/>
        <v>0</v>
      </c>
      <c r="T233" s="134"/>
      <c r="U233" s="134"/>
      <c r="V233" s="135">
        <f t="shared" si="21"/>
        <v>0</v>
      </c>
    </row>
    <row r="234" spans="1:22" ht="15.75" thickBot="1" x14ac:dyDescent="0.3">
      <c r="A234" s="93"/>
      <c r="B234" s="94"/>
      <c r="C234" s="95"/>
      <c r="D234" s="96">
        <f t="shared" si="23"/>
        <v>0</v>
      </c>
      <c r="E234" s="97"/>
      <c r="F234" s="212">
        <f t="shared" si="16"/>
        <v>0</v>
      </c>
      <c r="G234" s="214"/>
      <c r="H234" s="125">
        <f>SUM(F234)</f>
        <v>0</v>
      </c>
      <c r="I234" s="339">
        <f t="shared" si="18"/>
        <v>0</v>
      </c>
      <c r="J234" s="127"/>
      <c r="K234" s="104"/>
      <c r="L234" s="318"/>
      <c r="M234" s="105"/>
      <c r="N234" s="105"/>
      <c r="O234" s="105"/>
      <c r="P234" s="105"/>
      <c r="Q234" s="131"/>
      <c r="R234" s="132"/>
      <c r="S234" s="133">
        <f t="shared" si="17"/>
        <v>0</v>
      </c>
      <c r="T234" s="134"/>
      <c r="U234" s="134"/>
      <c r="V234" s="135">
        <f t="shared" si="21"/>
        <v>0</v>
      </c>
    </row>
    <row r="235" spans="1:22" ht="15.75" thickBot="1" x14ac:dyDescent="0.3">
      <c r="A235" s="139" t="s">
        <v>78</v>
      </c>
      <c r="B235" s="140"/>
      <c r="C235" s="141"/>
      <c r="D235" s="142">
        <f>SUM(D213:D234)</f>
        <v>225.5</v>
      </c>
      <c r="E235" s="143"/>
      <c r="F235" s="143">
        <f>SUM(F213:F234)</f>
        <v>0</v>
      </c>
      <c r="G235" s="209"/>
      <c r="H235" s="144"/>
      <c r="I235" s="146">
        <f>SUM(I213:I234)</f>
        <v>147</v>
      </c>
      <c r="J235" s="146">
        <f>SUM(J213:J234)</f>
        <v>0</v>
      </c>
      <c r="K235" s="148">
        <f t="shared" ref="K235:P235" si="25">SUM(K213:K234)</f>
        <v>0</v>
      </c>
      <c r="L235" s="148">
        <f t="shared" si="25"/>
        <v>0</v>
      </c>
      <c r="M235" s="149">
        <f t="shared" si="25"/>
        <v>147</v>
      </c>
      <c r="N235" s="149">
        <f t="shared" si="25"/>
        <v>0</v>
      </c>
      <c r="O235" s="150">
        <f t="shared" si="25"/>
        <v>0</v>
      </c>
      <c r="P235" s="150">
        <f t="shared" si="25"/>
        <v>0</v>
      </c>
      <c r="Q235" s="151"/>
      <c r="R235" s="149"/>
      <c r="S235" s="150">
        <f>SUM(S213:S234)</f>
        <v>0</v>
      </c>
      <c r="T235" s="151"/>
      <c r="U235" s="152"/>
      <c r="V235" s="153">
        <f t="shared" ref="V235" si="26">SUM(V213:V234)</f>
        <v>0</v>
      </c>
    </row>
    <row r="236" spans="1:22" ht="15.75" thickBot="1" x14ac:dyDescent="0.3">
      <c r="A236" s="158" t="s">
        <v>81</v>
      </c>
      <c r="B236" s="158">
        <f>(B238+B240)/40</f>
        <v>5.6375000000000002</v>
      </c>
      <c r="C236" s="159" t="s">
        <v>82</v>
      </c>
      <c r="D236" s="160">
        <f>D235-H235</f>
        <v>225.5</v>
      </c>
      <c r="E236" s="161"/>
      <c r="F236" s="161">
        <f>F235*1.15</f>
        <v>0</v>
      </c>
      <c r="G236" s="161"/>
      <c r="H236" s="162"/>
      <c r="I236" s="163"/>
      <c r="J236" s="164"/>
      <c r="K236" s="166">
        <f>K235*1.1</f>
        <v>0</v>
      </c>
      <c r="L236" s="166"/>
      <c r="M236" s="167">
        <f t="shared" ref="M236:P236" si="27">M235*1.1</f>
        <v>161.70000000000002</v>
      </c>
      <c r="N236" s="167">
        <f t="shared" si="27"/>
        <v>0</v>
      </c>
      <c r="O236" s="167">
        <f t="shared" si="27"/>
        <v>0</v>
      </c>
      <c r="P236" s="168">
        <f t="shared" si="27"/>
        <v>0</v>
      </c>
      <c r="Q236" s="365"/>
      <c r="R236" s="366"/>
      <c r="S236" s="169">
        <f t="shared" ref="S236" si="28">S235*1.1</f>
        <v>0</v>
      </c>
      <c r="T236" s="365"/>
      <c r="U236" s="366"/>
      <c r="V236" s="169">
        <f>V235*1.15</f>
        <v>0</v>
      </c>
    </row>
    <row r="237" spans="1:22" x14ac:dyDescent="0.25">
      <c r="A237" s="174" t="s">
        <v>85</v>
      </c>
      <c r="B237" s="175">
        <f>B236/15</f>
        <v>0.37583333333333335</v>
      </c>
      <c r="C237" s="349" t="s">
        <v>86</v>
      </c>
      <c r="D237" s="350"/>
      <c r="E237" s="176"/>
      <c r="F237" s="177"/>
      <c r="G237" s="177"/>
      <c r="H237" s="177"/>
      <c r="I237" s="177"/>
      <c r="J237" s="178"/>
      <c r="K237" s="353" t="s">
        <v>88</v>
      </c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5"/>
    </row>
    <row r="238" spans="1:22" x14ac:dyDescent="0.25">
      <c r="A238" s="329" t="s">
        <v>193</v>
      </c>
      <c r="B238" s="330">
        <f>D236-B240-B241-B239</f>
        <v>225.5</v>
      </c>
      <c r="C238" s="183">
        <v>25</v>
      </c>
      <c r="D238" s="184">
        <f>B238*C238</f>
        <v>5637.5</v>
      </c>
    </row>
    <row r="239" spans="1:22" x14ac:dyDescent="0.25">
      <c r="A239" s="329" t="s">
        <v>192</v>
      </c>
      <c r="B239" s="330">
        <v>0</v>
      </c>
      <c r="C239" s="183">
        <v>23</v>
      </c>
      <c r="D239" s="184">
        <f>B239*C239</f>
        <v>0</v>
      </c>
    </row>
    <row r="240" spans="1:22" x14ac:dyDescent="0.25">
      <c r="A240" s="185" t="s">
        <v>190</v>
      </c>
      <c r="B240" s="182">
        <v>0</v>
      </c>
      <c r="C240" s="183">
        <v>35</v>
      </c>
      <c r="D240" s="184">
        <f t="shared" ref="D240:D243" si="29">B240*C240</f>
        <v>0</v>
      </c>
    </row>
    <row r="241" spans="1:9" x14ac:dyDescent="0.25">
      <c r="A241" s="185" t="s">
        <v>191</v>
      </c>
      <c r="B241" s="182">
        <v>0</v>
      </c>
      <c r="C241" s="183">
        <v>32</v>
      </c>
      <c r="D241" s="184">
        <f t="shared" si="29"/>
        <v>0</v>
      </c>
    </row>
    <row r="242" spans="1:9" x14ac:dyDescent="0.25">
      <c r="A242" s="186" t="s">
        <v>91</v>
      </c>
      <c r="B242" s="187">
        <f>SUM(K235:V235)</f>
        <v>147</v>
      </c>
      <c r="C242" s="183">
        <v>25</v>
      </c>
      <c r="D242" s="184">
        <f t="shared" si="29"/>
        <v>3675</v>
      </c>
    </row>
    <row r="243" spans="1:9" ht="15.75" thickBot="1" x14ac:dyDescent="0.3">
      <c r="A243" s="188" t="s">
        <v>92</v>
      </c>
      <c r="B243" s="189">
        <f>I235+J235</f>
        <v>147</v>
      </c>
      <c r="C243" s="190">
        <v>25</v>
      </c>
      <c r="D243" s="191">
        <f t="shared" si="29"/>
        <v>3675</v>
      </c>
      <c r="F243" t="s">
        <v>189</v>
      </c>
    </row>
    <row r="244" spans="1:9" ht="15.75" thickTop="1" x14ac:dyDescent="0.25">
      <c r="A244" s="192" t="s">
        <v>93</v>
      </c>
      <c r="B244" s="193">
        <f>B239+B241</f>
        <v>0</v>
      </c>
      <c r="C244" s="194" t="s">
        <v>94</v>
      </c>
      <c r="D244" s="195">
        <f>SUM(D238:D243)</f>
        <v>12987.5</v>
      </c>
    </row>
    <row r="245" spans="1:9" ht="15.75" thickBot="1" x14ac:dyDescent="0.3">
      <c r="A245" s="196" t="s">
        <v>95</v>
      </c>
      <c r="B245" s="197">
        <f>F235/3</f>
        <v>0</v>
      </c>
      <c r="C245" s="198" t="s">
        <v>96</v>
      </c>
      <c r="D245" s="199">
        <f>D244*1.1</f>
        <v>14286.250000000002</v>
      </c>
      <c r="F245" s="230" t="s">
        <v>221</v>
      </c>
      <c r="G245" s="230" t="s">
        <v>222</v>
      </c>
      <c r="H245" s="230" t="s">
        <v>223</v>
      </c>
      <c r="I245" s="230" t="s">
        <v>224</v>
      </c>
    </row>
    <row r="246" spans="1:9" x14ac:dyDescent="0.25">
      <c r="A246" s="196" t="s">
        <v>97</v>
      </c>
      <c r="B246" s="200">
        <f>B244-B245</f>
        <v>0</v>
      </c>
      <c r="F246" s="230" t="s">
        <v>220</v>
      </c>
      <c r="G246" s="254">
        <v>16</v>
      </c>
      <c r="H246" s="254">
        <f>16*0.25</f>
        <v>4</v>
      </c>
      <c r="I246" s="254">
        <f>SUM(G246:H246)</f>
        <v>20</v>
      </c>
    </row>
    <row r="247" spans="1:9" ht="15.75" thickBot="1" x14ac:dyDescent="0.3">
      <c r="A247" s="201" t="s">
        <v>194</v>
      </c>
      <c r="B247" s="202">
        <f>B246*1.1</f>
        <v>0</v>
      </c>
      <c r="F247" s="230" t="s">
        <v>218</v>
      </c>
      <c r="G247" s="254">
        <v>19.25</v>
      </c>
      <c r="H247" s="254">
        <f>16*0.67</f>
        <v>10.72</v>
      </c>
      <c r="I247" s="254">
        <f>SUM(G247:H247)</f>
        <v>29.97</v>
      </c>
    </row>
    <row r="248" spans="1:9" x14ac:dyDescent="0.25">
      <c r="A248" s="203" t="s">
        <v>98</v>
      </c>
      <c r="B248" s="204" t="e">
        <f>#REF!</f>
        <v>#REF!</v>
      </c>
      <c r="F248" s="230" t="s">
        <v>217</v>
      </c>
      <c r="G248" s="254">
        <v>22</v>
      </c>
      <c r="H248" s="254">
        <f>16*0.83</f>
        <v>13.28</v>
      </c>
      <c r="I248" s="254">
        <f>SUM(G248:H248)</f>
        <v>35.28</v>
      </c>
    </row>
    <row r="249" spans="1:9" x14ac:dyDescent="0.25">
      <c r="F249" s="230" t="s">
        <v>219</v>
      </c>
      <c r="G249" s="254">
        <v>22.5</v>
      </c>
      <c r="H249" s="254">
        <v>16</v>
      </c>
      <c r="I249" s="254">
        <f>SUM(G249:H249)</f>
        <v>38.5</v>
      </c>
    </row>
  </sheetData>
  <mergeCells count="58">
    <mergeCell ref="Z34:AD34"/>
    <mergeCell ref="B174:E174"/>
    <mergeCell ref="B175:E175"/>
    <mergeCell ref="B176:E176"/>
    <mergeCell ref="B177:E177"/>
    <mergeCell ref="K33:L33"/>
    <mergeCell ref="T33:U33"/>
    <mergeCell ref="W33:X33"/>
    <mergeCell ref="C34:D34"/>
    <mergeCell ref="K34:L34"/>
    <mergeCell ref="N34:Y34"/>
    <mergeCell ref="T8:V8"/>
    <mergeCell ref="W8:Y8"/>
    <mergeCell ref="Z8:AD8"/>
    <mergeCell ref="AE8:AG8"/>
    <mergeCell ref="K32:L32"/>
    <mergeCell ref="AE32:AF32"/>
    <mergeCell ref="N8:S8"/>
    <mergeCell ref="B7:D7"/>
    <mergeCell ref="E7:I7"/>
    <mergeCell ref="B8:F8"/>
    <mergeCell ref="I8:J8"/>
    <mergeCell ref="K8:M8"/>
    <mergeCell ref="B4:D4"/>
    <mergeCell ref="E4:I4"/>
    <mergeCell ref="B5:D5"/>
    <mergeCell ref="E5:I5"/>
    <mergeCell ref="B6:D6"/>
    <mergeCell ref="E6:I6"/>
    <mergeCell ref="B1:D1"/>
    <mergeCell ref="E1:I1"/>
    <mergeCell ref="B2:D2"/>
    <mergeCell ref="E2:I2"/>
    <mergeCell ref="B3:D3"/>
    <mergeCell ref="E3:I3"/>
    <mergeCell ref="B204:D204"/>
    <mergeCell ref="E204:I204"/>
    <mergeCell ref="B205:D205"/>
    <mergeCell ref="E205:I205"/>
    <mergeCell ref="B206:D206"/>
    <mergeCell ref="E206:I206"/>
    <mergeCell ref="B210:D210"/>
    <mergeCell ref="E210:I210"/>
    <mergeCell ref="B211:F211"/>
    <mergeCell ref="I211:J211"/>
    <mergeCell ref="B207:D207"/>
    <mergeCell ref="E207:I207"/>
    <mergeCell ref="B208:D208"/>
    <mergeCell ref="E208:I208"/>
    <mergeCell ref="B209:D209"/>
    <mergeCell ref="E209:I209"/>
    <mergeCell ref="C237:D237"/>
    <mergeCell ref="K237:V237"/>
    <mergeCell ref="Q236:R236"/>
    <mergeCell ref="T236:U236"/>
    <mergeCell ref="K211:P211"/>
    <mergeCell ref="Q211:S211"/>
    <mergeCell ref="T211:V2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FE80-0AE8-4594-8E21-0B40FFCB51EF}">
  <dimension ref="A1:AG246"/>
  <sheetViews>
    <sheetView tabSelected="1" topLeftCell="A222" workbookViewId="0">
      <selection activeCell="N244" sqref="N244"/>
    </sheetView>
  </sheetViews>
  <sheetFormatPr defaultRowHeight="15" x14ac:dyDescent="0.25"/>
  <cols>
    <col min="1" max="1" width="31.85546875" bestFit="1" customWidth="1"/>
    <col min="2" max="2" width="11.5703125" bestFit="1" customWidth="1"/>
    <col min="3" max="3" width="10.5703125" bestFit="1" customWidth="1"/>
    <col min="4" max="4" width="12.5703125" bestFit="1" customWidth="1"/>
    <col min="5" max="5" width="11.5703125" bestFit="1" customWidth="1"/>
    <col min="6" max="6" width="10.5703125" bestFit="1" customWidth="1"/>
    <col min="7" max="7" width="10.140625" customWidth="1"/>
    <col min="8" max="8" width="10.85546875" bestFit="1" customWidth="1"/>
    <col min="16" max="16" width="6.7109375" bestFit="1" customWidth="1"/>
    <col min="17" max="17" width="11" customWidth="1"/>
    <col min="18" max="18" width="10.7109375" bestFit="1" customWidth="1"/>
    <col min="21" max="21" width="11.28515625" customWidth="1"/>
    <col min="23" max="23" width="9.140625" hidden="1" customWidth="1"/>
    <col min="24" max="24" width="14" hidden="1" customWidth="1"/>
    <col min="25" max="25" width="9.140625" hidden="1" customWidth="1"/>
    <col min="28" max="28" width="10.140625" bestFit="1" customWidth="1"/>
    <col min="29" max="29" width="6.85546875" bestFit="1" customWidth="1"/>
    <col min="31" max="31" width="12.28515625" customWidth="1"/>
    <col min="32" max="32" width="15.140625" bestFit="1" customWidth="1"/>
  </cols>
  <sheetData>
    <row r="1" spans="1:33" ht="16.5" thickBot="1" x14ac:dyDescent="0.3">
      <c r="A1" s="1" t="s">
        <v>0</v>
      </c>
      <c r="B1" s="395" t="s">
        <v>249</v>
      </c>
      <c r="C1" s="395"/>
      <c r="D1" s="396"/>
      <c r="E1" s="397" t="s">
        <v>44</v>
      </c>
      <c r="F1" s="398"/>
      <c r="G1" s="398"/>
      <c r="H1" s="398"/>
      <c r="I1" s="399"/>
    </row>
    <row r="2" spans="1:33" ht="15.75" x14ac:dyDescent="0.25">
      <c r="A2" s="1" t="s">
        <v>1</v>
      </c>
      <c r="B2" s="395" t="s">
        <v>100</v>
      </c>
      <c r="C2" s="395"/>
      <c r="D2" s="396"/>
      <c r="E2" s="400"/>
      <c r="F2" s="401"/>
      <c r="G2" s="401"/>
      <c r="H2" s="401"/>
      <c r="I2" s="402"/>
    </row>
    <row r="3" spans="1:33" ht="15.75" x14ac:dyDescent="0.25">
      <c r="A3" s="2" t="s">
        <v>45</v>
      </c>
      <c r="B3" s="396"/>
      <c r="C3" s="403"/>
      <c r="D3" s="403"/>
      <c r="E3" s="390"/>
      <c r="F3" s="391"/>
      <c r="G3" s="391"/>
      <c r="H3" s="391"/>
      <c r="I3" s="392"/>
    </row>
    <row r="4" spans="1:33" ht="15.75" x14ac:dyDescent="0.25">
      <c r="A4" s="2" t="s">
        <v>2</v>
      </c>
      <c r="B4" s="388">
        <v>45741</v>
      </c>
      <c r="C4" s="388"/>
      <c r="D4" s="389"/>
      <c r="E4" s="390"/>
      <c r="F4" s="391"/>
      <c r="G4" s="391"/>
      <c r="H4" s="391"/>
      <c r="I4" s="392"/>
    </row>
    <row r="5" spans="1:33" ht="15.75" x14ac:dyDescent="0.25">
      <c r="A5" s="70" t="s">
        <v>46</v>
      </c>
      <c r="B5" s="393"/>
      <c r="C5" s="394"/>
      <c r="D5" s="394"/>
      <c r="E5" s="390"/>
      <c r="F5" s="391"/>
      <c r="G5" s="391"/>
      <c r="H5" s="391"/>
      <c r="I5" s="392"/>
    </row>
    <row r="6" spans="1:33" ht="15.75" x14ac:dyDescent="0.25">
      <c r="A6" s="70" t="s">
        <v>47</v>
      </c>
      <c r="B6" s="393" t="s">
        <v>101</v>
      </c>
      <c r="C6" s="394"/>
      <c r="D6" s="394"/>
      <c r="E6" s="390"/>
      <c r="F6" s="391"/>
      <c r="G6" s="391"/>
      <c r="H6" s="391"/>
      <c r="I6" s="392"/>
    </row>
    <row r="7" spans="1:33" ht="16.5" thickBot="1" x14ac:dyDescent="0.3">
      <c r="A7" s="71" t="s">
        <v>8</v>
      </c>
      <c r="B7" s="376">
        <v>8647</v>
      </c>
      <c r="C7" s="377"/>
      <c r="D7" s="377"/>
      <c r="E7" s="378"/>
      <c r="F7" s="379"/>
      <c r="G7" s="379"/>
      <c r="H7" s="379"/>
      <c r="I7" s="380"/>
    </row>
    <row r="8" spans="1:33" ht="15.75" thickBot="1" x14ac:dyDescent="0.3">
      <c r="A8" s="72" t="s">
        <v>48</v>
      </c>
      <c r="B8" s="381" t="s">
        <v>49</v>
      </c>
      <c r="C8" s="382"/>
      <c r="D8" s="382"/>
      <c r="E8" s="382"/>
      <c r="F8" s="383"/>
      <c r="G8" s="73"/>
      <c r="H8" s="73"/>
      <c r="I8" s="384" t="s">
        <v>50</v>
      </c>
      <c r="J8" s="385"/>
      <c r="K8" s="386" t="s">
        <v>51</v>
      </c>
      <c r="L8" s="387"/>
      <c r="M8" s="387"/>
      <c r="N8" s="367" t="s">
        <v>52</v>
      </c>
      <c r="O8" s="367"/>
      <c r="P8" s="367"/>
      <c r="Q8" s="368"/>
      <c r="R8" s="367"/>
      <c r="S8" s="369"/>
      <c r="T8" s="370" t="s">
        <v>124</v>
      </c>
      <c r="U8" s="367"/>
      <c r="V8" s="367"/>
      <c r="W8" s="370" t="s">
        <v>53</v>
      </c>
      <c r="X8" s="367"/>
      <c r="Y8" s="369"/>
      <c r="Z8" s="371" t="s">
        <v>54</v>
      </c>
      <c r="AA8" s="372"/>
      <c r="AB8" s="372"/>
      <c r="AC8" s="372"/>
      <c r="AD8" s="373"/>
      <c r="AE8" s="374" t="s">
        <v>55</v>
      </c>
      <c r="AF8" s="374"/>
      <c r="AG8" s="375"/>
    </row>
    <row r="9" spans="1:33" ht="45.75" thickBot="1" x14ac:dyDescent="0.3">
      <c r="A9" s="75" t="s">
        <v>56</v>
      </c>
      <c r="B9" s="76" t="s">
        <v>57</v>
      </c>
      <c r="C9" s="77" t="s">
        <v>58</v>
      </c>
      <c r="D9" s="78" t="s">
        <v>59</v>
      </c>
      <c r="E9" s="79" t="s">
        <v>60</v>
      </c>
      <c r="F9" s="79" t="s">
        <v>61</v>
      </c>
      <c r="G9" s="210" t="s">
        <v>107</v>
      </c>
      <c r="H9" s="80" t="s">
        <v>62</v>
      </c>
      <c r="I9" s="81" t="s">
        <v>63</v>
      </c>
      <c r="J9" s="82" t="s">
        <v>64</v>
      </c>
      <c r="K9" s="83" t="s">
        <v>65</v>
      </c>
      <c r="L9" s="84" t="s">
        <v>66</v>
      </c>
      <c r="M9" s="85" t="s">
        <v>67</v>
      </c>
      <c r="N9" s="317" t="s">
        <v>206</v>
      </c>
      <c r="O9" s="317" t="s">
        <v>207</v>
      </c>
      <c r="P9" s="86" t="s">
        <v>104</v>
      </c>
      <c r="Q9" s="207" t="s">
        <v>105</v>
      </c>
      <c r="R9" s="208" t="s">
        <v>106</v>
      </c>
      <c r="S9" s="216" t="s">
        <v>68</v>
      </c>
      <c r="T9" s="87" t="s">
        <v>69</v>
      </c>
      <c r="U9" s="87" t="s">
        <v>70</v>
      </c>
      <c r="V9" s="74" t="s">
        <v>71</v>
      </c>
      <c r="W9" s="87" t="s">
        <v>72</v>
      </c>
      <c r="X9" s="87" t="s">
        <v>73</v>
      </c>
      <c r="Y9" s="87" t="s">
        <v>74</v>
      </c>
      <c r="Z9" s="88" t="s">
        <v>75</v>
      </c>
      <c r="AA9" s="89" t="s">
        <v>76</v>
      </c>
      <c r="AB9" s="206" t="s">
        <v>103</v>
      </c>
      <c r="AC9" s="215" t="s">
        <v>121</v>
      </c>
      <c r="AD9" s="335" t="s">
        <v>77</v>
      </c>
      <c r="AE9" s="90" t="s">
        <v>69</v>
      </c>
      <c r="AF9" s="91" t="s">
        <v>70</v>
      </c>
      <c r="AG9" s="92" t="s">
        <v>55</v>
      </c>
    </row>
    <row r="10" spans="1:33" x14ac:dyDescent="0.25">
      <c r="A10" s="93" t="s">
        <v>246</v>
      </c>
      <c r="B10" s="94">
        <v>10.5</v>
      </c>
      <c r="C10" s="95">
        <v>7</v>
      </c>
      <c r="D10" s="96">
        <f t="shared" ref="D10:D30" si="0">B10*C10</f>
        <v>73.5</v>
      </c>
      <c r="E10" s="97"/>
      <c r="F10" s="340">
        <f t="shared" ref="F10:F30" si="1">C10*E10</f>
        <v>0</v>
      </c>
      <c r="G10" s="341" t="s">
        <v>108</v>
      </c>
      <c r="H10" s="98"/>
      <c r="I10" s="99">
        <f>B10</f>
        <v>10.5</v>
      </c>
      <c r="J10" s="100"/>
      <c r="K10" s="101"/>
      <c r="L10" s="102"/>
      <c r="M10" s="103">
        <f>K10*L10</f>
        <v>0</v>
      </c>
      <c r="N10" s="104"/>
      <c r="O10" s="318"/>
      <c r="P10" s="105">
        <v>10.5</v>
      </c>
      <c r="Q10" s="106"/>
      <c r="R10" s="105"/>
      <c r="S10" s="105"/>
      <c r="T10" s="107"/>
      <c r="U10" s="108"/>
      <c r="V10" s="109">
        <f t="shared" ref="V10:V30" si="2">T10*U10</f>
        <v>0</v>
      </c>
      <c r="W10" s="110"/>
      <c r="X10" s="110"/>
      <c r="Y10" s="111">
        <f>W10*X10</f>
        <v>0</v>
      </c>
      <c r="Z10" s="112"/>
      <c r="AA10" s="113"/>
      <c r="AB10" s="113"/>
      <c r="AC10" s="114"/>
      <c r="AD10" s="336"/>
      <c r="AE10" s="115"/>
      <c r="AF10" s="116"/>
      <c r="AG10" s="117">
        <f t="shared" ref="AG10:AG30" si="3">AE10*AF10</f>
        <v>0</v>
      </c>
    </row>
    <row r="11" spans="1:33" x14ac:dyDescent="0.25">
      <c r="A11" s="93" t="s">
        <v>250</v>
      </c>
      <c r="B11" s="94">
        <v>5</v>
      </c>
      <c r="C11" s="95">
        <v>8</v>
      </c>
      <c r="D11" s="96">
        <f>B11*C11-H11</f>
        <v>40</v>
      </c>
      <c r="E11" s="97"/>
      <c r="F11" s="211">
        <f t="shared" si="1"/>
        <v>0</v>
      </c>
      <c r="G11" s="341" t="s">
        <v>108</v>
      </c>
      <c r="H11" s="118"/>
      <c r="I11" s="99">
        <f t="shared" ref="I11:I30" si="4">B11</f>
        <v>5</v>
      </c>
      <c r="J11" s="93"/>
      <c r="K11" s="119"/>
      <c r="L11" s="120"/>
      <c r="M11" s="121">
        <f t="shared" ref="M11:M30" si="5">K11*L11</f>
        <v>0</v>
      </c>
      <c r="N11" s="104"/>
      <c r="O11" s="318"/>
      <c r="P11" s="105"/>
      <c r="Q11" s="106"/>
      <c r="R11" s="105"/>
      <c r="S11" s="105"/>
      <c r="T11" s="122"/>
      <c r="U11" s="123"/>
      <c r="V11" s="105">
        <f t="shared" si="2"/>
        <v>0</v>
      </c>
      <c r="W11" s="123"/>
      <c r="X11" s="123"/>
      <c r="Y11" s="124">
        <f t="shared" ref="Y11:Y30" si="6">W11*X11</f>
        <v>0</v>
      </c>
      <c r="Z11" s="112"/>
      <c r="AA11" s="113"/>
      <c r="AB11" s="113"/>
      <c r="AC11" s="114"/>
      <c r="AD11" s="336"/>
      <c r="AE11" s="115"/>
      <c r="AF11" s="116"/>
      <c r="AG11" s="117">
        <f t="shared" si="3"/>
        <v>0</v>
      </c>
    </row>
    <row r="12" spans="1:33" x14ac:dyDescent="0.25">
      <c r="A12" s="93" t="s">
        <v>251</v>
      </c>
      <c r="B12" s="94">
        <v>23</v>
      </c>
      <c r="C12" s="95">
        <v>10.5</v>
      </c>
      <c r="D12" s="96">
        <f t="shared" si="0"/>
        <v>241.5</v>
      </c>
      <c r="E12" s="97"/>
      <c r="F12" s="211">
        <f t="shared" si="1"/>
        <v>0</v>
      </c>
      <c r="G12" s="341" t="s">
        <v>108</v>
      </c>
      <c r="H12" s="118">
        <v>50</v>
      </c>
      <c r="I12" s="99">
        <f t="shared" si="4"/>
        <v>23</v>
      </c>
      <c r="J12" s="93">
        <v>10</v>
      </c>
      <c r="K12" s="119"/>
      <c r="L12" s="120"/>
      <c r="M12" s="121">
        <f t="shared" si="5"/>
        <v>0</v>
      </c>
      <c r="N12" s="104">
        <v>10</v>
      </c>
      <c r="O12" s="318"/>
      <c r="P12" s="105"/>
      <c r="Q12" s="106"/>
      <c r="R12" s="105"/>
      <c r="S12" s="105"/>
      <c r="T12" s="122"/>
      <c r="U12" s="123"/>
      <c r="V12" s="105">
        <f t="shared" si="2"/>
        <v>0</v>
      </c>
      <c r="W12" s="123"/>
      <c r="X12" s="123"/>
      <c r="Y12" s="124"/>
      <c r="Z12" s="112"/>
      <c r="AA12" s="113"/>
      <c r="AB12" s="113"/>
      <c r="AC12" s="114"/>
      <c r="AD12" s="336"/>
      <c r="AE12" s="115"/>
      <c r="AF12" s="116"/>
      <c r="AG12" s="117"/>
    </row>
    <row r="13" spans="1:33" x14ac:dyDescent="0.25">
      <c r="A13" s="93" t="s">
        <v>245</v>
      </c>
      <c r="B13" s="94">
        <v>2.5</v>
      </c>
      <c r="C13" s="95">
        <v>10.5</v>
      </c>
      <c r="D13" s="96">
        <f>B13*C13-H13</f>
        <v>26.25</v>
      </c>
      <c r="E13" s="97"/>
      <c r="F13" s="211">
        <f t="shared" si="1"/>
        <v>0</v>
      </c>
      <c r="G13" s="341" t="s">
        <v>108</v>
      </c>
      <c r="H13" s="118"/>
      <c r="I13" s="99">
        <f t="shared" si="4"/>
        <v>2.5</v>
      </c>
      <c r="J13" s="93"/>
      <c r="K13" s="119"/>
      <c r="L13" s="120"/>
      <c r="M13" s="121">
        <f t="shared" si="5"/>
        <v>0</v>
      </c>
      <c r="N13" s="104"/>
      <c r="O13" s="318"/>
      <c r="P13" s="105"/>
      <c r="Q13" s="106"/>
      <c r="R13" s="105"/>
      <c r="S13" s="105"/>
      <c r="T13" s="122"/>
      <c r="U13" s="123"/>
      <c r="V13" s="105">
        <f t="shared" si="2"/>
        <v>0</v>
      </c>
      <c r="W13" s="123"/>
      <c r="X13" s="123"/>
      <c r="Y13" s="124">
        <f t="shared" si="6"/>
        <v>0</v>
      </c>
      <c r="Z13" s="112"/>
      <c r="AA13" s="113"/>
      <c r="AB13" s="113"/>
      <c r="AC13" s="114"/>
      <c r="AD13" s="336"/>
      <c r="AE13" s="115"/>
      <c r="AF13" s="116"/>
      <c r="AG13" s="117">
        <f t="shared" si="3"/>
        <v>0</v>
      </c>
    </row>
    <row r="14" spans="1:33" x14ac:dyDescent="0.25">
      <c r="A14" s="93" t="s">
        <v>245</v>
      </c>
      <c r="B14" s="94">
        <v>24</v>
      </c>
      <c r="C14" s="95">
        <v>8.5</v>
      </c>
      <c r="D14" s="96">
        <f t="shared" si="0"/>
        <v>204</v>
      </c>
      <c r="E14" s="97"/>
      <c r="F14" s="211">
        <f t="shared" si="1"/>
        <v>0</v>
      </c>
      <c r="G14" s="341" t="s">
        <v>108</v>
      </c>
      <c r="H14" s="118"/>
      <c r="I14" s="99">
        <f t="shared" si="4"/>
        <v>24</v>
      </c>
      <c r="J14" s="93">
        <v>12</v>
      </c>
      <c r="K14" s="119"/>
      <c r="L14" s="120"/>
      <c r="M14" s="121">
        <f t="shared" si="5"/>
        <v>0</v>
      </c>
      <c r="N14" s="104">
        <v>12</v>
      </c>
      <c r="O14" s="318"/>
      <c r="P14" s="105">
        <v>11</v>
      </c>
      <c r="Q14" s="106"/>
      <c r="R14" s="105"/>
      <c r="S14" s="105"/>
      <c r="T14" s="122"/>
      <c r="U14" s="123"/>
      <c r="V14" s="105">
        <f t="shared" si="2"/>
        <v>0</v>
      </c>
      <c r="W14" s="123"/>
      <c r="X14" s="123"/>
      <c r="Y14" s="124">
        <f t="shared" si="6"/>
        <v>0</v>
      </c>
      <c r="Z14" s="112"/>
      <c r="AA14" s="113"/>
      <c r="AB14" s="113"/>
      <c r="AC14" s="114"/>
      <c r="AD14" s="336"/>
      <c r="AE14" s="115"/>
      <c r="AF14" s="116"/>
      <c r="AG14" s="117">
        <f t="shared" si="3"/>
        <v>0</v>
      </c>
    </row>
    <row r="15" spans="1:33" x14ac:dyDescent="0.25">
      <c r="A15" s="93" t="s">
        <v>245</v>
      </c>
      <c r="B15" s="94">
        <v>2.5</v>
      </c>
      <c r="C15" s="95">
        <v>10.5</v>
      </c>
      <c r="D15" s="96">
        <f t="shared" si="0"/>
        <v>26.25</v>
      </c>
      <c r="E15" s="97"/>
      <c r="F15" s="211">
        <f t="shared" si="1"/>
        <v>0</v>
      </c>
      <c r="G15" s="341" t="s">
        <v>108</v>
      </c>
      <c r="H15" s="118"/>
      <c r="I15" s="99">
        <f t="shared" si="4"/>
        <v>2.5</v>
      </c>
      <c r="J15" s="93"/>
      <c r="K15" s="119"/>
      <c r="L15" s="120"/>
      <c r="M15" s="121">
        <f t="shared" si="5"/>
        <v>0</v>
      </c>
      <c r="N15" s="104"/>
      <c r="O15" s="318"/>
      <c r="P15" s="105"/>
      <c r="Q15" s="106"/>
      <c r="R15" s="105"/>
      <c r="S15" s="105"/>
      <c r="T15" s="122"/>
      <c r="U15" s="123"/>
      <c r="V15" s="105">
        <f t="shared" si="2"/>
        <v>0</v>
      </c>
      <c r="W15" s="123"/>
      <c r="X15" s="123"/>
      <c r="Y15" s="124">
        <f t="shared" si="6"/>
        <v>0</v>
      </c>
      <c r="Z15" s="112"/>
      <c r="AA15" s="113"/>
      <c r="AB15" s="113"/>
      <c r="AC15" s="114"/>
      <c r="AD15" s="336"/>
      <c r="AE15" s="115"/>
      <c r="AF15" s="116"/>
      <c r="AG15" s="117">
        <f t="shared" si="3"/>
        <v>0</v>
      </c>
    </row>
    <row r="16" spans="1:33" x14ac:dyDescent="0.25">
      <c r="A16" s="93" t="s">
        <v>252</v>
      </c>
      <c r="B16" s="94">
        <v>25</v>
      </c>
      <c r="C16" s="95">
        <v>1</v>
      </c>
      <c r="D16" s="96">
        <f t="shared" si="0"/>
        <v>25</v>
      </c>
      <c r="E16" s="97"/>
      <c r="F16" s="211">
        <f t="shared" si="1"/>
        <v>0</v>
      </c>
      <c r="G16" s="341" t="s">
        <v>108</v>
      </c>
      <c r="H16" s="118"/>
      <c r="I16" s="99">
        <f t="shared" si="4"/>
        <v>25</v>
      </c>
      <c r="J16" s="93"/>
      <c r="K16" s="119"/>
      <c r="L16" s="120"/>
      <c r="M16" s="121">
        <f t="shared" si="5"/>
        <v>0</v>
      </c>
      <c r="N16" s="104"/>
      <c r="O16" s="318"/>
      <c r="P16" s="105">
        <v>25</v>
      </c>
      <c r="Q16" s="106"/>
      <c r="R16" s="105"/>
      <c r="S16" s="105"/>
      <c r="T16" s="122"/>
      <c r="U16" s="123"/>
      <c r="V16" s="105">
        <f t="shared" si="2"/>
        <v>0</v>
      </c>
      <c r="W16" s="123"/>
      <c r="X16" s="123"/>
      <c r="Y16" s="124">
        <f t="shared" si="6"/>
        <v>0</v>
      </c>
      <c r="Z16" s="112"/>
      <c r="AA16" s="113"/>
      <c r="AB16" s="113"/>
      <c r="AC16" s="114"/>
      <c r="AD16" s="336"/>
      <c r="AE16" s="115"/>
      <c r="AF16" s="116"/>
      <c r="AG16" s="117">
        <f t="shared" si="3"/>
        <v>0</v>
      </c>
    </row>
    <row r="17" spans="1:33" x14ac:dyDescent="0.25">
      <c r="A17" s="93" t="s">
        <v>252</v>
      </c>
      <c r="B17" s="94">
        <v>5</v>
      </c>
      <c r="C17" s="95">
        <v>1</v>
      </c>
      <c r="D17" s="96">
        <f t="shared" si="0"/>
        <v>5</v>
      </c>
      <c r="E17" s="97"/>
      <c r="F17" s="211">
        <f t="shared" si="1"/>
        <v>0</v>
      </c>
      <c r="G17" s="341" t="s">
        <v>108</v>
      </c>
      <c r="H17" s="118"/>
      <c r="I17" s="99">
        <f t="shared" si="4"/>
        <v>5</v>
      </c>
      <c r="J17" s="93"/>
      <c r="K17" s="119"/>
      <c r="L17" s="120"/>
      <c r="M17" s="121">
        <f t="shared" si="5"/>
        <v>0</v>
      </c>
      <c r="N17" s="104"/>
      <c r="O17" s="318"/>
      <c r="P17" s="105">
        <v>5</v>
      </c>
      <c r="Q17" s="106"/>
      <c r="R17" s="105"/>
      <c r="S17" s="105"/>
      <c r="T17" s="122"/>
      <c r="U17" s="123"/>
      <c r="V17" s="105">
        <f t="shared" si="2"/>
        <v>0</v>
      </c>
      <c r="W17" s="123"/>
      <c r="X17" s="123"/>
      <c r="Y17" s="124">
        <f t="shared" si="6"/>
        <v>0</v>
      </c>
      <c r="Z17" s="112"/>
      <c r="AA17" s="113"/>
      <c r="AB17" s="113"/>
      <c r="AC17" s="114"/>
      <c r="AD17" s="336"/>
      <c r="AE17" s="115"/>
      <c r="AF17" s="116"/>
      <c r="AG17" s="117">
        <f t="shared" si="3"/>
        <v>0</v>
      </c>
    </row>
    <row r="18" spans="1:33" x14ac:dyDescent="0.25">
      <c r="A18" s="93" t="s">
        <v>253</v>
      </c>
      <c r="B18" s="94"/>
      <c r="C18" s="95"/>
      <c r="D18" s="96">
        <f t="shared" si="0"/>
        <v>0</v>
      </c>
      <c r="E18" s="97"/>
      <c r="F18" s="211">
        <f t="shared" si="1"/>
        <v>0</v>
      </c>
      <c r="G18" s="341" t="s">
        <v>108</v>
      </c>
      <c r="H18" s="118"/>
      <c r="I18" s="99">
        <f t="shared" si="4"/>
        <v>0</v>
      </c>
      <c r="J18" s="93"/>
      <c r="K18" s="119"/>
      <c r="L18" s="120"/>
      <c r="M18" s="121">
        <f t="shared" si="5"/>
        <v>0</v>
      </c>
      <c r="N18" s="104"/>
      <c r="O18" s="318"/>
      <c r="P18" s="105"/>
      <c r="Q18" s="106"/>
      <c r="R18" s="105"/>
      <c r="S18" s="105"/>
      <c r="T18" s="122"/>
      <c r="U18" s="123"/>
      <c r="V18" s="105">
        <f t="shared" si="2"/>
        <v>0</v>
      </c>
      <c r="W18" s="123"/>
      <c r="X18" s="123"/>
      <c r="Y18" s="124">
        <f t="shared" si="6"/>
        <v>0</v>
      </c>
      <c r="Z18" s="112"/>
      <c r="AA18" s="113"/>
      <c r="AB18" s="113"/>
      <c r="AC18" s="114">
        <v>1</v>
      </c>
      <c r="AD18" s="336"/>
      <c r="AE18" s="115"/>
      <c r="AF18" s="116"/>
      <c r="AG18" s="117">
        <f t="shared" si="3"/>
        <v>0</v>
      </c>
    </row>
    <row r="19" spans="1:33" x14ac:dyDescent="0.25">
      <c r="A19" s="93" t="s">
        <v>254</v>
      </c>
      <c r="B19" s="94">
        <v>18</v>
      </c>
      <c r="C19" s="95">
        <v>4</v>
      </c>
      <c r="D19" s="96">
        <f t="shared" si="0"/>
        <v>72</v>
      </c>
      <c r="E19" s="97"/>
      <c r="F19" s="211">
        <f t="shared" si="1"/>
        <v>0</v>
      </c>
      <c r="G19" s="213" t="s">
        <v>108</v>
      </c>
      <c r="H19" s="118"/>
      <c r="I19" s="99">
        <f t="shared" si="4"/>
        <v>18</v>
      </c>
      <c r="J19" s="93"/>
      <c r="K19" s="119"/>
      <c r="L19" s="120"/>
      <c r="M19" s="121">
        <f t="shared" si="5"/>
        <v>0</v>
      </c>
      <c r="N19" s="104"/>
      <c r="O19" s="318"/>
      <c r="P19" s="105"/>
      <c r="Q19" s="106">
        <v>18</v>
      </c>
      <c r="R19" s="105"/>
      <c r="S19" s="105"/>
      <c r="T19" s="122"/>
      <c r="U19" s="123"/>
      <c r="V19" s="105">
        <f t="shared" si="2"/>
        <v>0</v>
      </c>
      <c r="W19" s="123"/>
      <c r="X19" s="123"/>
      <c r="Y19" s="124">
        <f t="shared" si="6"/>
        <v>0</v>
      </c>
      <c r="Z19" s="112"/>
      <c r="AA19" s="113"/>
      <c r="AB19" s="113"/>
      <c r="AC19" s="114"/>
      <c r="AD19" s="336">
        <v>2</v>
      </c>
      <c r="AE19" s="115"/>
      <c r="AF19" s="116"/>
      <c r="AG19" s="117">
        <f t="shared" si="3"/>
        <v>0</v>
      </c>
    </row>
    <row r="20" spans="1:33" x14ac:dyDescent="0.25">
      <c r="A20" s="93" t="s">
        <v>255</v>
      </c>
      <c r="B20" s="279">
        <v>17</v>
      </c>
      <c r="C20" s="280">
        <v>3.5</v>
      </c>
      <c r="D20" s="281">
        <f t="shared" si="0"/>
        <v>59.5</v>
      </c>
      <c r="E20" s="282">
        <v>4</v>
      </c>
      <c r="F20" s="285">
        <f t="shared" si="1"/>
        <v>14</v>
      </c>
      <c r="G20" s="286" t="s">
        <v>112</v>
      </c>
      <c r="H20" s="118"/>
      <c r="I20" s="99">
        <f t="shared" si="4"/>
        <v>17</v>
      </c>
      <c r="J20" s="93"/>
      <c r="K20" s="119"/>
      <c r="L20" s="120"/>
      <c r="M20" s="121">
        <f t="shared" si="5"/>
        <v>0</v>
      </c>
      <c r="N20" s="104"/>
      <c r="O20" s="318"/>
      <c r="P20" s="105"/>
      <c r="Q20" s="106"/>
      <c r="R20" s="105"/>
      <c r="S20" s="105"/>
      <c r="T20" s="122"/>
      <c r="U20" s="123"/>
      <c r="V20" s="105">
        <f t="shared" si="2"/>
        <v>0</v>
      </c>
      <c r="W20" s="123"/>
      <c r="X20" s="123"/>
      <c r="Y20" s="124">
        <f t="shared" si="6"/>
        <v>0</v>
      </c>
      <c r="Z20" s="112"/>
      <c r="AA20" s="113"/>
      <c r="AB20" s="113"/>
      <c r="AC20" s="114"/>
      <c r="AD20" s="336"/>
      <c r="AE20" s="115">
        <v>6</v>
      </c>
      <c r="AF20" s="116">
        <v>4</v>
      </c>
      <c r="AG20" s="117">
        <f t="shared" si="3"/>
        <v>24</v>
      </c>
    </row>
    <row r="21" spans="1:33" x14ac:dyDescent="0.25">
      <c r="A21" s="93" t="s">
        <v>256</v>
      </c>
      <c r="B21" s="94">
        <v>19.5</v>
      </c>
      <c r="C21" s="95">
        <v>6</v>
      </c>
      <c r="D21" s="96">
        <f t="shared" si="0"/>
        <v>117</v>
      </c>
      <c r="E21" s="97"/>
      <c r="F21" s="211">
        <f t="shared" si="1"/>
        <v>0</v>
      </c>
      <c r="G21" s="213" t="s">
        <v>108</v>
      </c>
      <c r="H21" s="118"/>
      <c r="I21" s="99">
        <f t="shared" si="4"/>
        <v>19.5</v>
      </c>
      <c r="J21" s="93"/>
      <c r="K21" s="119"/>
      <c r="L21" s="120"/>
      <c r="M21" s="121">
        <f t="shared" si="5"/>
        <v>0</v>
      </c>
      <c r="N21" s="104"/>
      <c r="O21" s="318"/>
      <c r="P21" s="105"/>
      <c r="Q21" s="106"/>
      <c r="R21" s="105"/>
      <c r="S21" s="105"/>
      <c r="T21" s="122">
        <v>20</v>
      </c>
      <c r="U21" s="123">
        <v>2</v>
      </c>
      <c r="V21" s="105">
        <f t="shared" si="2"/>
        <v>40</v>
      </c>
      <c r="W21" s="123"/>
      <c r="X21" s="123"/>
      <c r="Y21" s="124">
        <f t="shared" si="6"/>
        <v>0</v>
      </c>
      <c r="Z21" s="112"/>
      <c r="AA21" s="113"/>
      <c r="AB21" s="113"/>
      <c r="AC21" s="114"/>
      <c r="AD21" s="336"/>
      <c r="AE21" s="115"/>
      <c r="AF21" s="116"/>
      <c r="AG21" s="117">
        <f t="shared" si="3"/>
        <v>0</v>
      </c>
    </row>
    <row r="22" spans="1:33" x14ac:dyDescent="0.25">
      <c r="A22" s="93" t="s">
        <v>256</v>
      </c>
      <c r="B22" s="94">
        <v>10</v>
      </c>
      <c r="C22" s="95">
        <v>3</v>
      </c>
      <c r="D22" s="96">
        <f t="shared" si="0"/>
        <v>30</v>
      </c>
      <c r="E22" s="97"/>
      <c r="F22" s="211">
        <f t="shared" si="1"/>
        <v>0</v>
      </c>
      <c r="G22" s="213" t="s">
        <v>108</v>
      </c>
      <c r="H22" s="118"/>
      <c r="I22" s="99">
        <f t="shared" si="4"/>
        <v>10</v>
      </c>
      <c r="J22" s="93"/>
      <c r="K22" s="119"/>
      <c r="L22" s="120"/>
      <c r="M22" s="121">
        <f t="shared" si="5"/>
        <v>0</v>
      </c>
      <c r="N22" s="104"/>
      <c r="O22" s="318"/>
      <c r="P22" s="105"/>
      <c r="Q22" s="106"/>
      <c r="R22" s="105"/>
      <c r="S22" s="105"/>
      <c r="T22" s="122"/>
      <c r="U22" s="123"/>
      <c r="V22" s="105">
        <f t="shared" si="2"/>
        <v>0</v>
      </c>
      <c r="W22" s="123"/>
      <c r="X22" s="123"/>
      <c r="Y22" s="124">
        <f t="shared" si="6"/>
        <v>0</v>
      </c>
      <c r="Z22" s="112"/>
      <c r="AA22" s="113"/>
      <c r="AB22" s="113"/>
      <c r="AC22" s="114"/>
      <c r="AD22" s="336"/>
      <c r="AE22" s="115"/>
      <c r="AF22" s="116"/>
      <c r="AG22" s="117">
        <f t="shared" si="3"/>
        <v>0</v>
      </c>
    </row>
    <row r="23" spans="1:33" x14ac:dyDescent="0.25">
      <c r="A23" s="93" t="s">
        <v>257</v>
      </c>
      <c r="B23" s="94">
        <v>8</v>
      </c>
      <c r="C23" s="95">
        <v>4.5</v>
      </c>
      <c r="D23" s="96">
        <f t="shared" si="0"/>
        <v>36</v>
      </c>
      <c r="E23" s="97"/>
      <c r="F23" s="211">
        <f t="shared" si="1"/>
        <v>0</v>
      </c>
      <c r="G23" s="213" t="s">
        <v>108</v>
      </c>
      <c r="H23" s="118"/>
      <c r="I23" s="99">
        <f t="shared" si="4"/>
        <v>8</v>
      </c>
      <c r="J23" s="93"/>
      <c r="K23" s="119"/>
      <c r="L23" s="120"/>
      <c r="M23" s="121">
        <f t="shared" si="5"/>
        <v>0</v>
      </c>
      <c r="N23" s="104"/>
      <c r="O23" s="318"/>
      <c r="P23" s="105"/>
      <c r="Q23" s="106"/>
      <c r="R23" s="105"/>
      <c r="S23" s="105"/>
      <c r="T23" s="122">
        <v>2.5</v>
      </c>
      <c r="U23" s="123">
        <v>2.5</v>
      </c>
      <c r="V23" s="105">
        <f t="shared" si="2"/>
        <v>6.25</v>
      </c>
      <c r="W23" s="123"/>
      <c r="X23" s="123"/>
      <c r="Y23" s="124">
        <f t="shared" si="6"/>
        <v>0</v>
      </c>
      <c r="Z23" s="112"/>
      <c r="AA23" s="113"/>
      <c r="AB23" s="113"/>
      <c r="AC23" s="114"/>
      <c r="AD23" s="336"/>
      <c r="AE23" s="115"/>
      <c r="AF23" s="116"/>
      <c r="AG23" s="117">
        <f t="shared" si="3"/>
        <v>0</v>
      </c>
    </row>
    <row r="24" spans="1:33" x14ac:dyDescent="0.25">
      <c r="A24" s="93" t="s">
        <v>256</v>
      </c>
      <c r="B24" s="94">
        <v>5</v>
      </c>
      <c r="C24" s="95">
        <v>3</v>
      </c>
      <c r="D24" s="96">
        <f>B24*C24-H24</f>
        <v>15</v>
      </c>
      <c r="E24" s="97"/>
      <c r="F24" s="211">
        <f t="shared" si="1"/>
        <v>0</v>
      </c>
      <c r="G24" s="213" t="s">
        <v>108</v>
      </c>
      <c r="H24" s="118"/>
      <c r="I24" s="99">
        <f t="shared" si="4"/>
        <v>5</v>
      </c>
      <c r="J24" s="93"/>
      <c r="K24" s="119"/>
      <c r="L24" s="120"/>
      <c r="M24" s="121">
        <f t="shared" si="5"/>
        <v>0</v>
      </c>
      <c r="N24" s="104"/>
      <c r="O24" s="318"/>
      <c r="P24" s="105"/>
      <c r="Q24" s="106"/>
      <c r="R24" s="105"/>
      <c r="S24" s="105"/>
      <c r="T24" s="122">
        <v>5</v>
      </c>
      <c r="U24" s="123">
        <v>2</v>
      </c>
      <c r="V24" s="105">
        <f t="shared" si="2"/>
        <v>10</v>
      </c>
      <c r="W24" s="123"/>
      <c r="X24" s="123"/>
      <c r="Y24" s="124">
        <f t="shared" si="6"/>
        <v>0</v>
      </c>
      <c r="Z24" s="112"/>
      <c r="AA24" s="113"/>
      <c r="AB24" s="113"/>
      <c r="AC24" s="114"/>
      <c r="AD24" s="336"/>
      <c r="AE24" s="115"/>
      <c r="AF24" s="116"/>
      <c r="AG24" s="117">
        <f t="shared" si="3"/>
        <v>0</v>
      </c>
    </row>
    <row r="25" spans="1:33" x14ac:dyDescent="0.25">
      <c r="A25" s="93" t="s">
        <v>256</v>
      </c>
      <c r="B25" s="94">
        <v>5</v>
      </c>
      <c r="C25" s="95">
        <v>5</v>
      </c>
      <c r="D25" s="96">
        <f t="shared" si="0"/>
        <v>25</v>
      </c>
      <c r="E25" s="97"/>
      <c r="F25" s="211">
        <f t="shared" si="1"/>
        <v>0</v>
      </c>
      <c r="G25" s="213" t="s">
        <v>108</v>
      </c>
      <c r="H25" s="118"/>
      <c r="I25" s="99">
        <f t="shared" si="4"/>
        <v>5</v>
      </c>
      <c r="J25" s="93"/>
      <c r="K25" s="119"/>
      <c r="L25" s="120"/>
      <c r="M25" s="121">
        <f t="shared" si="5"/>
        <v>0</v>
      </c>
      <c r="N25" s="104"/>
      <c r="O25" s="318"/>
      <c r="P25" s="105"/>
      <c r="Q25" s="106"/>
      <c r="R25" s="105"/>
      <c r="S25" s="105"/>
      <c r="T25" s="122"/>
      <c r="U25" s="123"/>
      <c r="V25" s="105">
        <f t="shared" si="2"/>
        <v>0</v>
      </c>
      <c r="W25" s="123"/>
      <c r="X25" s="123"/>
      <c r="Y25" s="124">
        <f t="shared" si="6"/>
        <v>0</v>
      </c>
      <c r="Z25" s="112"/>
      <c r="AA25" s="113"/>
      <c r="AB25" s="113"/>
      <c r="AC25" s="114"/>
      <c r="AD25" s="336"/>
      <c r="AE25" s="115"/>
      <c r="AF25" s="116"/>
      <c r="AG25" s="117">
        <f t="shared" si="3"/>
        <v>0</v>
      </c>
    </row>
    <row r="26" spans="1:33" x14ac:dyDescent="0.25">
      <c r="A26" s="93" t="s">
        <v>257</v>
      </c>
      <c r="B26" s="94">
        <v>8</v>
      </c>
      <c r="C26" s="95">
        <v>4</v>
      </c>
      <c r="D26" s="96">
        <f t="shared" si="0"/>
        <v>32</v>
      </c>
      <c r="E26" s="97"/>
      <c r="F26" s="211">
        <f t="shared" si="1"/>
        <v>0</v>
      </c>
      <c r="G26" s="213" t="s">
        <v>108</v>
      </c>
      <c r="H26" s="118"/>
      <c r="I26" s="99">
        <f t="shared" si="4"/>
        <v>8</v>
      </c>
      <c r="J26" s="93"/>
      <c r="K26" s="119"/>
      <c r="L26" s="120"/>
      <c r="M26" s="121">
        <f t="shared" si="5"/>
        <v>0</v>
      </c>
      <c r="N26" s="104"/>
      <c r="O26" s="318"/>
      <c r="P26" s="105"/>
      <c r="Q26" s="106"/>
      <c r="R26" s="105"/>
      <c r="S26" s="105"/>
      <c r="T26" s="122">
        <v>2.5</v>
      </c>
      <c r="U26" s="123">
        <v>2.5</v>
      </c>
      <c r="V26" s="105">
        <f t="shared" si="2"/>
        <v>6.25</v>
      </c>
      <c r="W26" s="123"/>
      <c r="X26" s="123"/>
      <c r="Y26" s="124">
        <f t="shared" si="6"/>
        <v>0</v>
      </c>
      <c r="Z26" s="112"/>
      <c r="AA26" s="113"/>
      <c r="AB26" s="113"/>
      <c r="AC26" s="114"/>
      <c r="AD26" s="336"/>
      <c r="AE26" s="115"/>
      <c r="AF26" s="116"/>
      <c r="AG26" s="117">
        <f t="shared" si="3"/>
        <v>0</v>
      </c>
    </row>
    <row r="27" spans="1:33" x14ac:dyDescent="0.25">
      <c r="A27" s="93"/>
      <c r="B27" s="94"/>
      <c r="C27" s="95"/>
      <c r="D27" s="96">
        <f t="shared" si="0"/>
        <v>0</v>
      </c>
      <c r="E27" s="97"/>
      <c r="F27" s="211">
        <f t="shared" si="1"/>
        <v>0</v>
      </c>
      <c r="G27" s="213" t="s">
        <v>108</v>
      </c>
      <c r="H27" s="118"/>
      <c r="I27" s="99">
        <f t="shared" si="4"/>
        <v>0</v>
      </c>
      <c r="J27" s="93"/>
      <c r="K27" s="119"/>
      <c r="L27" s="120"/>
      <c r="M27" s="121">
        <f t="shared" si="5"/>
        <v>0</v>
      </c>
      <c r="N27" s="104"/>
      <c r="O27" s="318"/>
      <c r="P27" s="105"/>
      <c r="Q27" s="106"/>
      <c r="R27" s="105"/>
      <c r="S27" s="105"/>
      <c r="T27" s="122"/>
      <c r="U27" s="123"/>
      <c r="V27" s="105">
        <f t="shared" si="2"/>
        <v>0</v>
      </c>
      <c r="W27" s="123"/>
      <c r="X27" s="123"/>
      <c r="Y27" s="124">
        <f t="shared" si="6"/>
        <v>0</v>
      </c>
      <c r="Z27" s="112"/>
      <c r="AA27" s="113"/>
      <c r="AB27" s="113"/>
      <c r="AC27" s="114"/>
      <c r="AD27" s="336"/>
      <c r="AE27" s="115"/>
      <c r="AF27" s="116"/>
      <c r="AG27" s="117">
        <f t="shared" si="3"/>
        <v>0</v>
      </c>
    </row>
    <row r="28" spans="1:33" ht="15.75" thickBot="1" x14ac:dyDescent="0.3">
      <c r="A28" s="93"/>
      <c r="B28" s="94"/>
      <c r="C28" s="95"/>
      <c r="D28" s="96">
        <f t="shared" ref="D28:D29" si="7">B28*C28</f>
        <v>0</v>
      </c>
      <c r="E28" s="97"/>
      <c r="F28" s="212">
        <f t="shared" si="1"/>
        <v>0</v>
      </c>
      <c r="G28" s="214"/>
      <c r="H28" s="125">
        <f t="shared" ref="H28:H29" si="8">SUM(F28)</f>
        <v>0</v>
      </c>
      <c r="I28" s="99">
        <f t="shared" si="4"/>
        <v>0</v>
      </c>
      <c r="J28" s="127"/>
      <c r="K28" s="128"/>
      <c r="L28" s="129"/>
      <c r="M28" s="130">
        <f t="shared" si="5"/>
        <v>0</v>
      </c>
      <c r="N28" s="104"/>
      <c r="O28" s="318"/>
      <c r="P28" s="105"/>
      <c r="Q28" s="105"/>
      <c r="R28" s="105"/>
      <c r="S28" s="105"/>
      <c r="T28" s="131"/>
      <c r="U28" s="132"/>
      <c r="V28" s="133">
        <f t="shared" si="2"/>
        <v>0</v>
      </c>
      <c r="W28" s="134"/>
      <c r="X28" s="134"/>
      <c r="Y28" s="135">
        <f t="shared" si="6"/>
        <v>0</v>
      </c>
      <c r="Z28" s="136"/>
      <c r="AA28" s="137"/>
      <c r="AB28" s="137"/>
      <c r="AC28" s="138"/>
      <c r="AD28" s="337"/>
      <c r="AE28" s="115"/>
      <c r="AF28" s="116"/>
      <c r="AG28" s="117">
        <f t="shared" si="3"/>
        <v>0</v>
      </c>
    </row>
    <row r="29" spans="1:33" ht="15.75" thickBot="1" x14ac:dyDescent="0.3">
      <c r="A29" s="93"/>
      <c r="B29" s="94"/>
      <c r="C29" s="95"/>
      <c r="D29" s="96">
        <f t="shared" si="7"/>
        <v>0</v>
      </c>
      <c r="E29" s="97"/>
      <c r="F29" s="212">
        <f t="shared" si="1"/>
        <v>0</v>
      </c>
      <c r="G29" s="214"/>
      <c r="H29" s="125">
        <f t="shared" si="8"/>
        <v>0</v>
      </c>
      <c r="I29" s="99">
        <f t="shared" si="4"/>
        <v>0</v>
      </c>
      <c r="J29" s="127"/>
      <c r="K29" s="128"/>
      <c r="L29" s="129"/>
      <c r="M29" s="130">
        <f t="shared" si="5"/>
        <v>0</v>
      </c>
      <c r="N29" s="104"/>
      <c r="O29" s="318"/>
      <c r="P29" s="105"/>
      <c r="Q29" s="105"/>
      <c r="R29" s="105"/>
      <c r="S29" s="105"/>
      <c r="T29" s="131"/>
      <c r="U29" s="132"/>
      <c r="V29" s="133">
        <f t="shared" si="2"/>
        <v>0</v>
      </c>
      <c r="W29" s="134"/>
      <c r="X29" s="134"/>
      <c r="Y29" s="135">
        <f t="shared" si="6"/>
        <v>0</v>
      </c>
      <c r="Z29" s="136"/>
      <c r="AA29" s="137"/>
      <c r="AB29" s="137"/>
      <c r="AC29" s="138"/>
      <c r="AD29" s="337"/>
      <c r="AE29" s="115"/>
      <c r="AF29" s="116"/>
      <c r="AG29" s="117">
        <f t="shared" si="3"/>
        <v>0</v>
      </c>
    </row>
    <row r="30" spans="1:33" ht="15.75" thickBot="1" x14ac:dyDescent="0.3">
      <c r="A30" s="93"/>
      <c r="B30" s="94"/>
      <c r="C30" s="95"/>
      <c r="D30" s="96">
        <f t="shared" si="0"/>
        <v>0</v>
      </c>
      <c r="E30" s="97"/>
      <c r="F30" s="212">
        <f t="shared" si="1"/>
        <v>0</v>
      </c>
      <c r="G30" s="214"/>
      <c r="H30" s="125">
        <f>SUM(F30)</f>
        <v>0</v>
      </c>
      <c r="I30" s="339">
        <f t="shared" si="4"/>
        <v>0</v>
      </c>
      <c r="J30" s="127"/>
      <c r="K30" s="128"/>
      <c r="L30" s="129"/>
      <c r="M30" s="130">
        <f t="shared" si="5"/>
        <v>0</v>
      </c>
      <c r="N30" s="104"/>
      <c r="O30" s="318"/>
      <c r="P30" s="105"/>
      <c r="Q30" s="105"/>
      <c r="R30" s="105"/>
      <c r="S30" s="105"/>
      <c r="T30" s="131"/>
      <c r="U30" s="132"/>
      <c r="V30" s="133">
        <f t="shared" si="2"/>
        <v>0</v>
      </c>
      <c r="W30" s="134"/>
      <c r="X30" s="134"/>
      <c r="Y30" s="135">
        <f t="shared" si="6"/>
        <v>0</v>
      </c>
      <c r="Z30" s="136"/>
      <c r="AA30" s="137"/>
      <c r="AB30" s="137"/>
      <c r="AC30" s="138"/>
      <c r="AD30" s="337"/>
      <c r="AE30" s="115"/>
      <c r="AF30" s="116"/>
      <c r="AG30" s="117">
        <f t="shared" si="3"/>
        <v>0</v>
      </c>
    </row>
    <row r="31" spans="1:33" ht="15.75" thickBot="1" x14ac:dyDescent="0.3">
      <c r="A31" s="139" t="s">
        <v>78</v>
      </c>
      <c r="B31" s="140"/>
      <c r="C31" s="141"/>
      <c r="D31" s="142">
        <f>SUM(D10:D30)</f>
        <v>1028</v>
      </c>
      <c r="E31" s="143"/>
      <c r="F31" s="143">
        <f>SUM(F10:F30)</f>
        <v>14</v>
      </c>
      <c r="G31" s="209"/>
      <c r="H31" s="144"/>
      <c r="I31" s="146">
        <f>SUM(I10:I30)</f>
        <v>188</v>
      </c>
      <c r="J31" s="146">
        <f>SUM(J10:J30)</f>
        <v>22</v>
      </c>
      <c r="K31" s="359" t="s">
        <v>79</v>
      </c>
      <c r="L31" s="360"/>
      <c r="M31" s="147">
        <f t="shared" ref="M31:S31" si="9">SUM(M10:M30)</f>
        <v>0</v>
      </c>
      <c r="N31" s="148">
        <f t="shared" si="9"/>
        <v>22</v>
      </c>
      <c r="O31" s="148">
        <f t="shared" si="9"/>
        <v>0</v>
      </c>
      <c r="P31" s="149">
        <f t="shared" si="9"/>
        <v>51.5</v>
      </c>
      <c r="Q31" s="149">
        <f t="shared" si="9"/>
        <v>18</v>
      </c>
      <c r="R31" s="150">
        <f t="shared" si="9"/>
        <v>0</v>
      </c>
      <c r="S31" s="150">
        <f t="shared" si="9"/>
        <v>0</v>
      </c>
      <c r="T31" s="151"/>
      <c r="U31" s="149"/>
      <c r="V31" s="150">
        <f>SUM(V10:V30)</f>
        <v>62.5</v>
      </c>
      <c r="W31" s="151"/>
      <c r="X31" s="152"/>
      <c r="Y31" s="153">
        <f t="shared" ref="Y31:AD31" si="10">SUM(Y10:Y30)</f>
        <v>0</v>
      </c>
      <c r="Z31" s="154">
        <f t="shared" si="10"/>
        <v>0</v>
      </c>
      <c r="AA31" s="155">
        <f t="shared" si="10"/>
        <v>0</v>
      </c>
      <c r="AB31" s="155">
        <f t="shared" si="10"/>
        <v>0</v>
      </c>
      <c r="AC31" s="156">
        <f t="shared" si="10"/>
        <v>1</v>
      </c>
      <c r="AD31" s="338">
        <f t="shared" si="10"/>
        <v>2</v>
      </c>
      <c r="AE31" s="361" t="s">
        <v>80</v>
      </c>
      <c r="AF31" s="362"/>
      <c r="AG31" s="157">
        <f>SUM(AG10:AG30)</f>
        <v>24</v>
      </c>
    </row>
    <row r="32" spans="1:33" ht="16.5" thickBot="1" x14ac:dyDescent="0.3">
      <c r="A32" s="158" t="s">
        <v>81</v>
      </c>
      <c r="B32" s="158">
        <f>(B34+B36)/40</f>
        <v>24.212499999999999</v>
      </c>
      <c r="C32" s="159" t="s">
        <v>82</v>
      </c>
      <c r="D32" s="160">
        <f>D31-H31</f>
        <v>1028</v>
      </c>
      <c r="E32" s="161"/>
      <c r="F32" s="161">
        <f>F31*1.15</f>
        <v>16.099999999999998</v>
      </c>
      <c r="G32" s="161"/>
      <c r="H32" s="162"/>
      <c r="I32" s="163"/>
      <c r="J32" s="164"/>
      <c r="K32" s="363" t="s">
        <v>83</v>
      </c>
      <c r="L32" s="364"/>
      <c r="M32" s="165">
        <f>M31*1.125</f>
        <v>0</v>
      </c>
      <c r="N32" s="166">
        <f>N31*1.1</f>
        <v>24.200000000000003</v>
      </c>
      <c r="O32" s="166"/>
      <c r="P32" s="167">
        <f t="shared" ref="P32:V32" si="11">P31*1.1</f>
        <v>56.650000000000006</v>
      </c>
      <c r="Q32" s="167">
        <f t="shared" si="11"/>
        <v>19.8</v>
      </c>
      <c r="R32" s="167">
        <f t="shared" si="11"/>
        <v>0</v>
      </c>
      <c r="S32" s="168">
        <f t="shared" si="11"/>
        <v>0</v>
      </c>
      <c r="T32" s="365"/>
      <c r="U32" s="366"/>
      <c r="V32" s="169">
        <f t="shared" si="11"/>
        <v>68.75</v>
      </c>
      <c r="W32" s="365"/>
      <c r="X32" s="366"/>
      <c r="Y32" s="169">
        <f>Y31*1.15</f>
        <v>0</v>
      </c>
      <c r="Z32" s="170">
        <f>Z31</f>
        <v>0</v>
      </c>
      <c r="AA32" s="170">
        <f t="shared" ref="AA32:AD32" si="12">AA31</f>
        <v>0</v>
      </c>
      <c r="AB32" s="170">
        <f t="shared" si="12"/>
        <v>0</v>
      </c>
      <c r="AC32" s="170">
        <f t="shared" si="12"/>
        <v>1</v>
      </c>
      <c r="AD32" s="170">
        <f t="shared" si="12"/>
        <v>2</v>
      </c>
      <c r="AE32" s="171" t="s">
        <v>84</v>
      </c>
      <c r="AF32" s="172"/>
      <c r="AG32" s="173">
        <v>0</v>
      </c>
    </row>
    <row r="33" spans="1:33" ht="15.75" thickBot="1" x14ac:dyDescent="0.3">
      <c r="A33" s="174" t="s">
        <v>85</v>
      </c>
      <c r="B33" s="175">
        <f>B32/15</f>
        <v>1.6141666666666665</v>
      </c>
      <c r="C33" s="349" t="s">
        <v>86</v>
      </c>
      <c r="D33" s="350"/>
      <c r="E33" s="176"/>
      <c r="F33" s="177"/>
      <c r="G33" s="177"/>
      <c r="H33" s="177"/>
      <c r="I33" s="177"/>
      <c r="J33" s="178"/>
      <c r="K33" s="351" t="s">
        <v>87</v>
      </c>
      <c r="L33" s="352"/>
      <c r="M33" s="179"/>
      <c r="N33" s="353" t="s">
        <v>88</v>
      </c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5"/>
      <c r="Z33" s="356" t="s">
        <v>89</v>
      </c>
      <c r="AA33" s="357"/>
      <c r="AB33" s="357"/>
      <c r="AC33" s="357"/>
      <c r="AD33" s="358"/>
      <c r="AE33" s="180" t="s">
        <v>90</v>
      </c>
      <c r="AF33" s="181"/>
      <c r="AG33" s="157">
        <v>0</v>
      </c>
    </row>
    <row r="34" spans="1:33" x14ac:dyDescent="0.25">
      <c r="A34" s="329" t="s">
        <v>193</v>
      </c>
      <c r="B34" s="330">
        <f>D32-B36-B37-B35</f>
        <v>896.5</v>
      </c>
      <c r="C34" s="183">
        <v>25</v>
      </c>
      <c r="D34" s="184">
        <f>B34*C34</f>
        <v>22412.5</v>
      </c>
    </row>
    <row r="35" spans="1:33" x14ac:dyDescent="0.25">
      <c r="A35" s="329" t="s">
        <v>192</v>
      </c>
      <c r="B35" s="330">
        <v>0</v>
      </c>
      <c r="C35" s="183">
        <v>23</v>
      </c>
      <c r="D35" s="184">
        <f>B35*C35</f>
        <v>0</v>
      </c>
    </row>
    <row r="36" spans="1:33" x14ac:dyDescent="0.25">
      <c r="A36" s="185" t="s">
        <v>190</v>
      </c>
      <c r="B36" s="182">
        <f>D19</f>
        <v>72</v>
      </c>
      <c r="C36" s="183">
        <v>35</v>
      </c>
      <c r="D36" s="184">
        <f t="shared" ref="D36:D39" si="13">B36*C36</f>
        <v>2520</v>
      </c>
    </row>
    <row r="37" spans="1:33" x14ac:dyDescent="0.25">
      <c r="A37" s="185" t="s">
        <v>191</v>
      </c>
      <c r="B37" s="182">
        <f>D20</f>
        <v>59.5</v>
      </c>
      <c r="C37" s="183">
        <v>32</v>
      </c>
      <c r="D37" s="184">
        <f t="shared" si="13"/>
        <v>1904</v>
      </c>
    </row>
    <row r="38" spans="1:33" x14ac:dyDescent="0.25">
      <c r="A38" s="186" t="s">
        <v>91</v>
      </c>
      <c r="B38" s="187">
        <f>SUM(N31:Y31)</f>
        <v>154</v>
      </c>
      <c r="C38" s="183">
        <v>25</v>
      </c>
      <c r="D38" s="184">
        <f t="shared" si="13"/>
        <v>3850</v>
      </c>
    </row>
    <row r="39" spans="1:33" ht="15.75" thickBot="1" x14ac:dyDescent="0.3">
      <c r="A39" s="188" t="s">
        <v>92</v>
      </c>
      <c r="B39" s="189">
        <f>I31+J31</f>
        <v>210</v>
      </c>
      <c r="C39" s="190">
        <v>25</v>
      </c>
      <c r="D39" s="191">
        <f t="shared" si="13"/>
        <v>5250</v>
      </c>
      <c r="F39" t="s">
        <v>189</v>
      </c>
    </row>
    <row r="40" spans="1:33" ht="15.75" thickTop="1" x14ac:dyDescent="0.25">
      <c r="A40" s="192" t="s">
        <v>93</v>
      </c>
      <c r="B40" s="193">
        <f>B35+B37</f>
        <v>59.5</v>
      </c>
      <c r="C40" s="194" t="s">
        <v>94</v>
      </c>
      <c r="D40" s="195">
        <f>SUM(D34:D39)</f>
        <v>35936.5</v>
      </c>
    </row>
    <row r="41" spans="1:33" ht="15.75" thickBot="1" x14ac:dyDescent="0.3">
      <c r="A41" s="196" t="s">
        <v>95</v>
      </c>
      <c r="B41" s="197">
        <f>F31/3</f>
        <v>4.666666666666667</v>
      </c>
      <c r="C41" s="198" t="s">
        <v>96</v>
      </c>
      <c r="D41" s="199">
        <f>D40*1.1</f>
        <v>39530.15</v>
      </c>
      <c r="F41" s="230" t="s">
        <v>221</v>
      </c>
      <c r="G41" s="230" t="s">
        <v>222</v>
      </c>
      <c r="H41" s="230" t="s">
        <v>223</v>
      </c>
      <c r="I41" s="230" t="s">
        <v>224</v>
      </c>
    </row>
    <row r="42" spans="1:33" x14ac:dyDescent="0.25">
      <c r="A42" s="196" t="s">
        <v>97</v>
      </c>
      <c r="B42" s="200">
        <f>B40-B41</f>
        <v>54.833333333333336</v>
      </c>
      <c r="F42" s="230" t="s">
        <v>220</v>
      </c>
      <c r="G42" s="254">
        <v>16</v>
      </c>
      <c r="H42" s="254">
        <f>16*0.25</f>
        <v>4</v>
      </c>
      <c r="I42" s="254">
        <f>SUM(G42:H42)</f>
        <v>20</v>
      </c>
    </row>
    <row r="43" spans="1:33" ht="15.75" thickBot="1" x14ac:dyDescent="0.3">
      <c r="A43" s="201" t="s">
        <v>194</v>
      </c>
      <c r="B43" s="202">
        <f>B42*1.1</f>
        <v>60.316666666666677</v>
      </c>
      <c r="F43" s="230" t="s">
        <v>218</v>
      </c>
      <c r="G43" s="254">
        <v>19.25</v>
      </c>
      <c r="H43" s="254">
        <f>16*0.67</f>
        <v>10.72</v>
      </c>
      <c r="I43" s="254">
        <f>SUM(G43:H43)</f>
        <v>29.97</v>
      </c>
    </row>
    <row r="44" spans="1:33" x14ac:dyDescent="0.25">
      <c r="A44" s="203" t="s">
        <v>98</v>
      </c>
      <c r="B44" s="204">
        <f>M32</f>
        <v>0</v>
      </c>
      <c r="F44" s="230" t="s">
        <v>217</v>
      </c>
      <c r="G44" s="254">
        <v>22</v>
      </c>
      <c r="H44" s="254">
        <f>16*0.83</f>
        <v>13.28</v>
      </c>
      <c r="I44" s="254">
        <f>SUM(G44:H44)</f>
        <v>35.28</v>
      </c>
    </row>
    <row r="45" spans="1:33" x14ac:dyDescent="0.25">
      <c r="F45" s="230" t="s">
        <v>219</v>
      </c>
      <c r="G45" s="254">
        <v>22.5</v>
      </c>
      <c r="H45" s="254">
        <v>16</v>
      </c>
      <c r="I45" s="254">
        <f>SUM(G45:H45)</f>
        <v>38.5</v>
      </c>
    </row>
    <row r="46" spans="1:33" ht="15.75" thickBot="1" x14ac:dyDescent="0.3"/>
    <row r="47" spans="1:33" ht="15.75" thickBot="1" x14ac:dyDescent="0.3">
      <c r="A47" s="289" t="s">
        <v>205</v>
      </c>
      <c r="B47" s="290"/>
      <c r="C47" s="291"/>
      <c r="D47" s="292"/>
    </row>
    <row r="48" spans="1:33" ht="15.75" thickBot="1" x14ac:dyDescent="0.3">
      <c r="A48" s="293" t="s">
        <v>209</v>
      </c>
      <c r="B48" s="294"/>
      <c r="C48" s="295">
        <f>I44</f>
        <v>35.28</v>
      </c>
      <c r="D48" s="296"/>
    </row>
    <row r="49" spans="1:4" x14ac:dyDescent="0.25">
      <c r="A49" s="293" t="s">
        <v>210</v>
      </c>
      <c r="B49" s="319">
        <v>0.3</v>
      </c>
      <c r="C49" s="229">
        <f>C48*B49</f>
        <v>10.584</v>
      </c>
      <c r="D49" s="298"/>
    </row>
    <row r="50" spans="1:4" x14ac:dyDescent="0.25">
      <c r="A50" s="293" t="s">
        <v>211</v>
      </c>
      <c r="B50" s="297"/>
      <c r="C50" s="232">
        <f>SUM(C48:C49)</f>
        <v>45.864000000000004</v>
      </c>
      <c r="D50" s="298"/>
    </row>
    <row r="51" spans="1:4" ht="15.75" thickBot="1" x14ac:dyDescent="0.3">
      <c r="A51" s="299" t="s">
        <v>212</v>
      </c>
      <c r="B51" s="250"/>
      <c r="C51" s="300">
        <f>C50*1.0725</f>
        <v>49.189140000000002</v>
      </c>
      <c r="D51" s="301"/>
    </row>
    <row r="52" spans="1:4" ht="15.75" thickTop="1" x14ac:dyDescent="0.25">
      <c r="A52" s="302" t="s">
        <v>195</v>
      </c>
      <c r="B52" s="227">
        <v>8</v>
      </c>
      <c r="C52" s="253">
        <v>130</v>
      </c>
      <c r="D52" s="303">
        <f>B52*C52</f>
        <v>1040</v>
      </c>
    </row>
    <row r="53" spans="1:4" x14ac:dyDescent="0.25">
      <c r="A53" s="302" t="s">
        <v>196</v>
      </c>
      <c r="B53" s="227">
        <v>0</v>
      </c>
      <c r="C53" s="253">
        <v>700</v>
      </c>
      <c r="D53" s="303">
        <f>B53*C53</f>
        <v>0</v>
      </c>
    </row>
    <row r="54" spans="1:4" x14ac:dyDescent="0.25">
      <c r="A54" s="304" t="s">
        <v>23</v>
      </c>
      <c r="B54" s="116">
        <v>8</v>
      </c>
      <c r="C54" s="254">
        <v>70</v>
      </c>
      <c r="D54" s="305">
        <f>B54*C54</f>
        <v>560</v>
      </c>
    </row>
    <row r="55" spans="1:4" x14ac:dyDescent="0.25">
      <c r="A55" s="304" t="s">
        <v>197</v>
      </c>
      <c r="B55" s="116">
        <v>0</v>
      </c>
      <c r="C55" s="254">
        <v>0</v>
      </c>
      <c r="D55" s="305">
        <f>B55*C55</f>
        <v>0</v>
      </c>
    </row>
    <row r="56" spans="1:4" ht="15.75" thickBot="1" x14ac:dyDescent="0.3">
      <c r="A56" s="320" t="s">
        <v>198</v>
      </c>
      <c r="B56" s="321">
        <v>0.5</v>
      </c>
      <c r="C56" s="252">
        <v>100</v>
      </c>
      <c r="D56" s="322">
        <f>B56*C56</f>
        <v>50</v>
      </c>
    </row>
    <row r="57" spans="1:4" ht="15.75" thickTop="1" x14ac:dyDescent="0.25">
      <c r="A57" s="323" t="s">
        <v>199</v>
      </c>
      <c r="B57" s="257"/>
      <c r="C57" s="257"/>
      <c r="D57" s="324">
        <f>SUM(D52:D56)</f>
        <v>1650</v>
      </c>
    </row>
    <row r="58" spans="1:4" ht="15.75" thickBot="1" x14ac:dyDescent="0.3">
      <c r="A58" s="306" t="s">
        <v>213</v>
      </c>
      <c r="B58" s="307"/>
      <c r="C58" s="250"/>
      <c r="D58" s="308">
        <f>D57/B59</f>
        <v>57.89473684210526</v>
      </c>
    </row>
    <row r="59" spans="1:4" ht="15.75" thickTop="1" x14ac:dyDescent="0.25">
      <c r="A59" s="323" t="s">
        <v>214</v>
      </c>
      <c r="B59" s="247">
        <f>B66*0.5</f>
        <v>28.5</v>
      </c>
      <c r="C59" s="37"/>
      <c r="D59" s="309"/>
    </row>
    <row r="60" spans="1:4" x14ac:dyDescent="0.25">
      <c r="A60" s="304" t="s">
        <v>215</v>
      </c>
      <c r="B60" s="232">
        <f>C51+D58</f>
        <v>107.08387684210527</v>
      </c>
      <c r="C60" s="230"/>
      <c r="D60" s="298"/>
    </row>
    <row r="61" spans="1:4" x14ac:dyDescent="0.25">
      <c r="A61" s="304" t="s">
        <v>28</v>
      </c>
      <c r="B61" s="232">
        <f>B60*B59</f>
        <v>3051.8904900000002</v>
      </c>
      <c r="C61" s="230"/>
      <c r="D61" s="298"/>
    </row>
    <row r="62" spans="1:4" x14ac:dyDescent="0.25">
      <c r="A62" s="304" t="s">
        <v>200</v>
      </c>
      <c r="B62" s="325">
        <v>0.3</v>
      </c>
      <c r="C62" s="230"/>
      <c r="D62" s="298"/>
    </row>
    <row r="63" spans="1:4" x14ac:dyDescent="0.25">
      <c r="A63" s="304" t="s">
        <v>96</v>
      </c>
      <c r="B63" s="232">
        <f>B61*B62</f>
        <v>915.56714700000009</v>
      </c>
      <c r="C63" s="230"/>
      <c r="D63" s="310"/>
    </row>
    <row r="64" spans="1:4" x14ac:dyDescent="0.25">
      <c r="A64" s="304" t="s">
        <v>201</v>
      </c>
      <c r="B64" s="311">
        <v>25</v>
      </c>
      <c r="C64" s="230"/>
      <c r="D64" s="310"/>
    </row>
    <row r="65" spans="1:4" x14ac:dyDescent="0.25">
      <c r="A65" s="312" t="s">
        <v>202</v>
      </c>
      <c r="B65" s="326">
        <f>B61+B63+B64</f>
        <v>3992.4576370000004</v>
      </c>
      <c r="C65" s="313" t="s">
        <v>216</v>
      </c>
      <c r="D65" s="327">
        <f>B65/B59</f>
        <v>140.086232877193</v>
      </c>
    </row>
    <row r="66" spans="1:4" ht="15.75" thickBot="1" x14ac:dyDescent="0.3">
      <c r="A66" s="314" t="s">
        <v>203</v>
      </c>
      <c r="B66" s="315">
        <v>57</v>
      </c>
      <c r="C66" s="316" t="s">
        <v>204</v>
      </c>
      <c r="D66" s="328">
        <f>B65/B66</f>
        <v>70.043116438596499</v>
      </c>
    </row>
    <row r="67" spans="1:4" ht="15.75" thickBot="1" x14ac:dyDescent="0.3"/>
    <row r="68" spans="1:4" ht="15.75" thickBot="1" x14ac:dyDescent="0.3">
      <c r="A68" s="289" t="s">
        <v>208</v>
      </c>
      <c r="B68" s="290"/>
      <c r="C68" s="291"/>
      <c r="D68" s="292"/>
    </row>
    <row r="69" spans="1:4" ht="15.75" thickBot="1" x14ac:dyDescent="0.3">
      <c r="A69" s="293" t="s">
        <v>209</v>
      </c>
      <c r="B69" s="294"/>
      <c r="C69" s="295">
        <f>I44</f>
        <v>35.28</v>
      </c>
      <c r="D69" s="296"/>
    </row>
    <row r="70" spans="1:4" x14ac:dyDescent="0.25">
      <c r="A70" s="293" t="s">
        <v>210</v>
      </c>
      <c r="B70" s="319">
        <v>0.3</v>
      </c>
      <c r="C70" s="229">
        <f>C69*B70</f>
        <v>10.584</v>
      </c>
      <c r="D70" s="298"/>
    </row>
    <row r="71" spans="1:4" x14ac:dyDescent="0.25">
      <c r="A71" s="293" t="s">
        <v>211</v>
      </c>
      <c r="B71" s="297"/>
      <c r="C71" s="232">
        <f>SUM(C69:C70)</f>
        <v>45.864000000000004</v>
      </c>
      <c r="D71" s="298"/>
    </row>
    <row r="72" spans="1:4" ht="15.75" thickBot="1" x14ac:dyDescent="0.3">
      <c r="A72" s="299" t="s">
        <v>212</v>
      </c>
      <c r="B72" s="250"/>
      <c r="C72" s="300">
        <f>C71*1.0725</f>
        <v>49.189140000000002</v>
      </c>
      <c r="D72" s="301"/>
    </row>
    <row r="73" spans="1:4" ht="15.75" thickTop="1" x14ac:dyDescent="0.25">
      <c r="A73" s="302" t="s">
        <v>195</v>
      </c>
      <c r="B73" s="227">
        <v>8</v>
      </c>
      <c r="C73" s="253">
        <v>130</v>
      </c>
      <c r="D73" s="303">
        <f>B73*C73</f>
        <v>1040</v>
      </c>
    </row>
    <row r="74" spans="1:4" x14ac:dyDescent="0.25">
      <c r="A74" s="302" t="s">
        <v>196</v>
      </c>
      <c r="B74" s="227">
        <v>0</v>
      </c>
      <c r="C74" s="253">
        <v>700</v>
      </c>
      <c r="D74" s="303">
        <f>B74*C74</f>
        <v>0</v>
      </c>
    </row>
    <row r="75" spans="1:4" x14ac:dyDescent="0.25">
      <c r="A75" s="304" t="s">
        <v>23</v>
      </c>
      <c r="B75" s="116">
        <v>8</v>
      </c>
      <c r="C75" s="254">
        <v>70</v>
      </c>
      <c r="D75" s="305">
        <f>B75*C75</f>
        <v>560</v>
      </c>
    </row>
    <row r="76" spans="1:4" x14ac:dyDescent="0.25">
      <c r="A76" s="304" t="s">
        <v>197</v>
      </c>
      <c r="B76" s="116">
        <v>0</v>
      </c>
      <c r="C76" s="254">
        <v>0</v>
      </c>
      <c r="D76" s="305">
        <f>B76*C76</f>
        <v>0</v>
      </c>
    </row>
    <row r="77" spans="1:4" ht="15.75" thickBot="1" x14ac:dyDescent="0.3">
      <c r="A77" s="320" t="s">
        <v>198</v>
      </c>
      <c r="B77" s="321">
        <v>0.5</v>
      </c>
      <c r="C77" s="252">
        <v>100</v>
      </c>
      <c r="D77" s="322">
        <f>B77*C77</f>
        <v>50</v>
      </c>
    </row>
    <row r="78" spans="1:4" ht="15.75" thickTop="1" x14ac:dyDescent="0.25">
      <c r="A78" s="323" t="s">
        <v>199</v>
      </c>
      <c r="B78" s="257"/>
      <c r="C78" s="257"/>
      <c r="D78" s="324">
        <f>SUM(D73:D77)</f>
        <v>1650</v>
      </c>
    </row>
    <row r="79" spans="1:4" ht="15.75" thickBot="1" x14ac:dyDescent="0.3">
      <c r="A79" s="306" t="s">
        <v>213</v>
      </c>
      <c r="B79" s="307"/>
      <c r="C79" s="250"/>
      <c r="D79" s="308">
        <f>D78/B80</f>
        <v>115.78947368421052</v>
      </c>
    </row>
    <row r="80" spans="1:4" ht="15.75" thickTop="1" x14ac:dyDescent="0.25">
      <c r="A80" s="323" t="s">
        <v>214</v>
      </c>
      <c r="B80" s="247">
        <f>B87*0.25</f>
        <v>14.25</v>
      </c>
      <c r="C80" s="37"/>
      <c r="D80" s="309"/>
    </row>
    <row r="81" spans="1:4" x14ac:dyDescent="0.25">
      <c r="A81" s="304" t="s">
        <v>215</v>
      </c>
      <c r="B81" s="232">
        <f>C72+D79</f>
        <v>164.97861368421053</v>
      </c>
      <c r="C81" s="230"/>
      <c r="D81" s="298"/>
    </row>
    <row r="82" spans="1:4" x14ac:dyDescent="0.25">
      <c r="A82" s="304" t="s">
        <v>28</v>
      </c>
      <c r="B82" s="232">
        <f>B81*B80</f>
        <v>2350.9452449999999</v>
      </c>
      <c r="C82" s="230"/>
      <c r="D82" s="298"/>
    </row>
    <row r="83" spans="1:4" x14ac:dyDescent="0.25">
      <c r="A83" s="304" t="s">
        <v>200</v>
      </c>
      <c r="B83" s="325">
        <v>0.3</v>
      </c>
      <c r="C83" s="230"/>
      <c r="D83" s="298"/>
    </row>
    <row r="84" spans="1:4" x14ac:dyDescent="0.25">
      <c r="A84" s="304" t="s">
        <v>96</v>
      </c>
      <c r="B84" s="232">
        <f>B82*B83</f>
        <v>705.28357349999999</v>
      </c>
      <c r="C84" s="230"/>
      <c r="D84" s="310"/>
    </row>
    <row r="85" spans="1:4" x14ac:dyDescent="0.25">
      <c r="A85" s="304" t="s">
        <v>201</v>
      </c>
      <c r="B85" s="311">
        <v>25</v>
      </c>
      <c r="C85" s="230"/>
      <c r="D85" s="310"/>
    </row>
    <row r="86" spans="1:4" x14ac:dyDescent="0.25">
      <c r="A86" s="312" t="s">
        <v>202</v>
      </c>
      <c r="B86" s="326">
        <f>B82+B84+B85</f>
        <v>3081.2288184999998</v>
      </c>
      <c r="C86" s="313" t="s">
        <v>216</v>
      </c>
      <c r="D86" s="327">
        <f>B86/B80</f>
        <v>216.22658375438596</v>
      </c>
    </row>
    <row r="87" spans="1:4" ht="15.75" thickBot="1" x14ac:dyDescent="0.3">
      <c r="A87" s="314" t="s">
        <v>203</v>
      </c>
      <c r="B87" s="315">
        <v>57</v>
      </c>
      <c r="C87" s="316" t="s">
        <v>204</v>
      </c>
      <c r="D87" s="328">
        <f>B86/B87</f>
        <v>54.056645938596489</v>
      </c>
    </row>
    <row r="88" spans="1:4" ht="15.75" thickBot="1" x14ac:dyDescent="0.3"/>
    <row r="89" spans="1:4" ht="15.75" thickBot="1" x14ac:dyDescent="0.3">
      <c r="A89" s="289" t="s">
        <v>225</v>
      </c>
      <c r="B89" s="290"/>
      <c r="C89" s="291"/>
      <c r="D89" s="292"/>
    </row>
    <row r="90" spans="1:4" ht="15.75" thickBot="1" x14ac:dyDescent="0.3">
      <c r="A90" s="293" t="s">
        <v>209</v>
      </c>
      <c r="B90" s="294"/>
      <c r="C90" s="295">
        <f>I43</f>
        <v>29.97</v>
      </c>
      <c r="D90" s="296"/>
    </row>
    <row r="91" spans="1:4" x14ac:dyDescent="0.25">
      <c r="A91" s="293" t="s">
        <v>210</v>
      </c>
      <c r="B91" s="319">
        <v>0.3</v>
      </c>
      <c r="C91" s="229">
        <f>C90*B91</f>
        <v>8.9909999999999997</v>
      </c>
      <c r="D91" s="298"/>
    </row>
    <row r="92" spans="1:4" x14ac:dyDescent="0.25">
      <c r="A92" s="293" t="s">
        <v>211</v>
      </c>
      <c r="B92" s="297"/>
      <c r="C92" s="232">
        <f>SUM(C90:C91)</f>
        <v>38.960999999999999</v>
      </c>
      <c r="D92" s="298"/>
    </row>
    <row r="93" spans="1:4" ht="15.75" thickBot="1" x14ac:dyDescent="0.3">
      <c r="A93" s="299" t="s">
        <v>212</v>
      </c>
      <c r="B93" s="250"/>
      <c r="C93" s="300">
        <f>C92*1.0725</f>
        <v>41.785672499999997</v>
      </c>
      <c r="D93" s="301"/>
    </row>
    <row r="94" spans="1:4" ht="15.75" thickTop="1" x14ac:dyDescent="0.25">
      <c r="A94" s="302" t="s">
        <v>195</v>
      </c>
      <c r="B94" s="227">
        <v>12</v>
      </c>
      <c r="C94" s="253">
        <v>130</v>
      </c>
      <c r="D94" s="303">
        <f>B94*C94</f>
        <v>1560</v>
      </c>
    </row>
    <row r="95" spans="1:4" x14ac:dyDescent="0.25">
      <c r="A95" s="302" t="s">
        <v>196</v>
      </c>
      <c r="B95" s="227">
        <v>10</v>
      </c>
      <c r="C95" s="253">
        <v>700</v>
      </c>
      <c r="D95" s="303">
        <f>B95*C95</f>
        <v>7000</v>
      </c>
    </row>
    <row r="96" spans="1:4" x14ac:dyDescent="0.25">
      <c r="A96" s="304" t="s">
        <v>23</v>
      </c>
      <c r="B96" s="116">
        <v>60</v>
      </c>
      <c r="C96" s="254">
        <v>70</v>
      </c>
      <c r="D96" s="305">
        <f>B96*C96</f>
        <v>4200</v>
      </c>
    </row>
    <row r="97" spans="1:4" x14ac:dyDescent="0.25">
      <c r="A97" s="304" t="s">
        <v>197</v>
      </c>
      <c r="B97" s="116">
        <v>0</v>
      </c>
      <c r="C97" s="254">
        <v>0</v>
      </c>
      <c r="D97" s="305">
        <f>B97*C97</f>
        <v>0</v>
      </c>
    </row>
    <row r="98" spans="1:4" ht="15.75" thickBot="1" x14ac:dyDescent="0.3">
      <c r="A98" s="320" t="s">
        <v>198</v>
      </c>
      <c r="B98" s="321">
        <v>2</v>
      </c>
      <c r="C98" s="252">
        <v>100</v>
      </c>
      <c r="D98" s="322">
        <f>B98*C98</f>
        <v>200</v>
      </c>
    </row>
    <row r="99" spans="1:4" ht="15.75" thickTop="1" x14ac:dyDescent="0.25">
      <c r="A99" s="323" t="s">
        <v>199</v>
      </c>
      <c r="B99" s="257"/>
      <c r="C99" s="257"/>
      <c r="D99" s="324">
        <f>SUM(D94:D98)</f>
        <v>12960</v>
      </c>
    </row>
    <row r="100" spans="1:4" ht="15.75" thickBot="1" x14ac:dyDescent="0.3">
      <c r="A100" s="306" t="s">
        <v>213</v>
      </c>
      <c r="B100" s="307"/>
      <c r="C100" s="250"/>
      <c r="D100" s="308">
        <f>D99/B101</f>
        <v>1309.090909090909</v>
      </c>
    </row>
    <row r="101" spans="1:4" ht="15.75" thickTop="1" x14ac:dyDescent="0.25">
      <c r="A101" s="323" t="s">
        <v>214</v>
      </c>
      <c r="B101" s="247">
        <f>B108*0.5</f>
        <v>9.9</v>
      </c>
      <c r="C101" s="37"/>
      <c r="D101" s="309"/>
    </row>
    <row r="102" spans="1:4" x14ac:dyDescent="0.25">
      <c r="A102" s="304" t="s">
        <v>215</v>
      </c>
      <c r="B102" s="232">
        <f>C93+D100</f>
        <v>1350.8765815909089</v>
      </c>
      <c r="C102" s="230"/>
      <c r="D102" s="298"/>
    </row>
    <row r="103" spans="1:4" x14ac:dyDescent="0.25">
      <c r="A103" s="304" t="s">
        <v>28</v>
      </c>
      <c r="B103" s="232">
        <f>B102*B101</f>
        <v>13373.678157749999</v>
      </c>
      <c r="C103" s="230"/>
      <c r="D103" s="298"/>
    </row>
    <row r="104" spans="1:4" x14ac:dyDescent="0.25">
      <c r="A104" s="304" t="s">
        <v>200</v>
      </c>
      <c r="B104" s="325">
        <v>0.3</v>
      </c>
      <c r="C104" s="230"/>
      <c r="D104" s="298"/>
    </row>
    <row r="105" spans="1:4" x14ac:dyDescent="0.25">
      <c r="A105" s="304" t="s">
        <v>96</v>
      </c>
      <c r="B105" s="232">
        <f>B103*B104</f>
        <v>4012.1034473249993</v>
      </c>
      <c r="C105" s="230"/>
      <c r="D105" s="310"/>
    </row>
    <row r="106" spans="1:4" x14ac:dyDescent="0.25">
      <c r="A106" s="304" t="s">
        <v>201</v>
      </c>
      <c r="B106" s="311">
        <v>100</v>
      </c>
      <c r="C106" s="230"/>
      <c r="D106" s="310"/>
    </row>
    <row r="107" spans="1:4" x14ac:dyDescent="0.25">
      <c r="A107" s="312" t="s">
        <v>202</v>
      </c>
      <c r="B107" s="326">
        <f>B103+B105+B106</f>
        <v>17485.781605074997</v>
      </c>
      <c r="C107" s="313" t="s">
        <v>216</v>
      </c>
      <c r="D107" s="327">
        <f>B107/B101</f>
        <v>1766.2405661691917</v>
      </c>
    </row>
    <row r="108" spans="1:4" ht="15.75" thickBot="1" x14ac:dyDescent="0.3">
      <c r="A108" s="314" t="s">
        <v>203</v>
      </c>
      <c r="B108" s="315">
        <f>Q32</f>
        <v>19.8</v>
      </c>
      <c r="C108" s="316" t="s">
        <v>204</v>
      </c>
      <c r="D108" s="328">
        <f>B107/B108</f>
        <v>883.12028308459583</v>
      </c>
    </row>
    <row r="109" spans="1:4" ht="15.75" thickBot="1" x14ac:dyDescent="0.3"/>
    <row r="110" spans="1:4" ht="15.75" thickBot="1" x14ac:dyDescent="0.3">
      <c r="A110" s="289" t="s">
        <v>104</v>
      </c>
      <c r="B110" s="290"/>
      <c r="C110" s="291"/>
      <c r="D110" s="292"/>
    </row>
    <row r="111" spans="1:4" ht="15.75" thickBot="1" x14ac:dyDescent="0.3">
      <c r="A111" s="293" t="s">
        <v>209</v>
      </c>
      <c r="B111" s="294"/>
      <c r="C111" s="295">
        <f>I42</f>
        <v>20</v>
      </c>
      <c r="D111" s="296"/>
    </row>
    <row r="112" spans="1:4" x14ac:dyDescent="0.25">
      <c r="A112" s="293" t="s">
        <v>210</v>
      </c>
      <c r="B112" s="319">
        <v>0.2</v>
      </c>
      <c r="C112" s="229">
        <f>C111*B112</f>
        <v>4</v>
      </c>
      <c r="D112" s="298"/>
    </row>
    <row r="113" spans="1:4" x14ac:dyDescent="0.25">
      <c r="A113" s="293" t="s">
        <v>211</v>
      </c>
      <c r="B113" s="297"/>
      <c r="C113" s="232">
        <f>SUM(C111:C112)</f>
        <v>24</v>
      </c>
      <c r="D113" s="298"/>
    </row>
    <row r="114" spans="1:4" ht="15.75" thickBot="1" x14ac:dyDescent="0.3">
      <c r="A114" s="299" t="s">
        <v>212</v>
      </c>
      <c r="B114" s="250"/>
      <c r="C114" s="300">
        <f>C113*1.0725</f>
        <v>25.740000000000002</v>
      </c>
      <c r="D114" s="301"/>
    </row>
    <row r="115" spans="1:4" ht="15.75" thickTop="1" x14ac:dyDescent="0.25">
      <c r="A115" s="302" t="s">
        <v>195</v>
      </c>
      <c r="B115" s="227">
        <v>2</v>
      </c>
      <c r="C115" s="253">
        <v>130</v>
      </c>
      <c r="D115" s="303">
        <f>B115*C115</f>
        <v>260</v>
      </c>
    </row>
    <row r="116" spans="1:4" x14ac:dyDescent="0.25">
      <c r="A116" s="302" t="s">
        <v>196</v>
      </c>
      <c r="B116" s="227">
        <v>0</v>
      </c>
      <c r="C116" s="253">
        <v>700</v>
      </c>
      <c r="D116" s="303">
        <f>B116*C116</f>
        <v>0</v>
      </c>
    </row>
    <row r="117" spans="1:4" x14ac:dyDescent="0.25">
      <c r="A117" s="304" t="s">
        <v>23</v>
      </c>
      <c r="B117" s="116">
        <v>3</v>
      </c>
      <c r="C117" s="254">
        <v>70</v>
      </c>
      <c r="D117" s="305">
        <f>B117*C117</f>
        <v>210</v>
      </c>
    </row>
    <row r="118" spans="1:4" x14ac:dyDescent="0.25">
      <c r="A118" s="304" t="s">
        <v>197</v>
      </c>
      <c r="B118" s="116">
        <v>0</v>
      </c>
      <c r="C118" s="254">
        <v>0</v>
      </c>
      <c r="D118" s="305">
        <f>B118*C118</f>
        <v>0</v>
      </c>
    </row>
    <row r="119" spans="1:4" ht="15.75" thickBot="1" x14ac:dyDescent="0.3">
      <c r="A119" s="320" t="s">
        <v>198</v>
      </c>
      <c r="B119" s="321">
        <v>0</v>
      </c>
      <c r="C119" s="252">
        <v>100</v>
      </c>
      <c r="D119" s="322">
        <f>B119*C119</f>
        <v>0</v>
      </c>
    </row>
    <row r="120" spans="1:4" ht="15.75" thickTop="1" x14ac:dyDescent="0.25">
      <c r="A120" s="323" t="s">
        <v>199</v>
      </c>
      <c r="B120" s="257"/>
      <c r="C120" s="257"/>
      <c r="D120" s="324">
        <f>SUM(D115:D119)</f>
        <v>470</v>
      </c>
    </row>
    <row r="121" spans="1:4" ht="15.75" thickBot="1" x14ac:dyDescent="0.3">
      <c r="A121" s="306" t="s">
        <v>213</v>
      </c>
      <c r="B121" s="307"/>
      <c r="C121" s="250"/>
      <c r="D121" s="308">
        <f>D120/B122</f>
        <v>23.5</v>
      </c>
    </row>
    <row r="122" spans="1:4" ht="15.75" thickTop="1" x14ac:dyDescent="0.25">
      <c r="A122" s="323" t="s">
        <v>214</v>
      </c>
      <c r="B122" s="247">
        <f>B129*0.5</f>
        <v>20</v>
      </c>
      <c r="C122" s="37"/>
      <c r="D122" s="309"/>
    </row>
    <row r="123" spans="1:4" x14ac:dyDescent="0.25">
      <c r="A123" s="304" t="s">
        <v>215</v>
      </c>
      <c r="B123" s="232">
        <f>C114+D121</f>
        <v>49.24</v>
      </c>
      <c r="C123" s="230"/>
      <c r="D123" s="298"/>
    </row>
    <row r="124" spans="1:4" x14ac:dyDescent="0.25">
      <c r="A124" s="304" t="s">
        <v>28</v>
      </c>
      <c r="B124" s="232">
        <f>B123*B122</f>
        <v>984.80000000000007</v>
      </c>
      <c r="C124" s="230"/>
      <c r="D124" s="298"/>
    </row>
    <row r="125" spans="1:4" x14ac:dyDescent="0.25">
      <c r="A125" s="304" t="s">
        <v>200</v>
      </c>
      <c r="B125" s="325">
        <v>0.3</v>
      </c>
      <c r="C125" s="230"/>
      <c r="D125" s="298"/>
    </row>
    <row r="126" spans="1:4" x14ac:dyDescent="0.25">
      <c r="A126" s="304" t="s">
        <v>96</v>
      </c>
      <c r="B126" s="232">
        <f>B124*B125</f>
        <v>295.44</v>
      </c>
      <c r="C126" s="230"/>
      <c r="D126" s="310"/>
    </row>
    <row r="127" spans="1:4" x14ac:dyDescent="0.25">
      <c r="A127" s="304" t="s">
        <v>201</v>
      </c>
      <c r="B127" s="311">
        <v>10</v>
      </c>
      <c r="C127" s="230"/>
      <c r="D127" s="310"/>
    </row>
    <row r="128" spans="1:4" x14ac:dyDescent="0.25">
      <c r="A128" s="312" t="s">
        <v>202</v>
      </c>
      <c r="B128" s="326">
        <f>B124+B126+B127</f>
        <v>1290.24</v>
      </c>
      <c r="C128" s="313" t="s">
        <v>216</v>
      </c>
      <c r="D128" s="327">
        <f>B128/B122</f>
        <v>64.512</v>
      </c>
    </row>
    <row r="129" spans="1:4" ht="15.75" thickBot="1" x14ac:dyDescent="0.3">
      <c r="A129" s="314" t="s">
        <v>203</v>
      </c>
      <c r="B129" s="315">
        <v>40</v>
      </c>
      <c r="C129" s="316" t="s">
        <v>204</v>
      </c>
      <c r="D129" s="328">
        <f>B128/B129</f>
        <v>32.256</v>
      </c>
    </row>
    <row r="130" spans="1:4" ht="15.75" thickBot="1" x14ac:dyDescent="0.3"/>
    <row r="131" spans="1:4" ht="15.75" thickBot="1" x14ac:dyDescent="0.3">
      <c r="A131" s="289" t="s">
        <v>230</v>
      </c>
      <c r="B131" s="290"/>
      <c r="C131" s="291"/>
      <c r="D131" s="292"/>
    </row>
    <row r="132" spans="1:4" ht="15.75" thickBot="1" x14ac:dyDescent="0.3">
      <c r="A132" s="293" t="s">
        <v>209</v>
      </c>
      <c r="B132" s="294"/>
      <c r="C132" s="295">
        <v>22</v>
      </c>
      <c r="D132" s="296"/>
    </row>
    <row r="133" spans="1:4" x14ac:dyDescent="0.25">
      <c r="A133" s="293" t="s">
        <v>210</v>
      </c>
      <c r="B133" s="319">
        <v>0.2</v>
      </c>
      <c r="C133" s="229">
        <f>C132*B133</f>
        <v>4.4000000000000004</v>
      </c>
      <c r="D133" s="298"/>
    </row>
    <row r="134" spans="1:4" x14ac:dyDescent="0.25">
      <c r="A134" s="293" t="s">
        <v>211</v>
      </c>
      <c r="B134" s="297"/>
      <c r="C134" s="232">
        <f>SUM(C132:C133)</f>
        <v>26.4</v>
      </c>
      <c r="D134" s="298"/>
    </row>
    <row r="135" spans="1:4" ht="15.75" thickBot="1" x14ac:dyDescent="0.3">
      <c r="A135" s="299" t="s">
        <v>212</v>
      </c>
      <c r="B135" s="250"/>
      <c r="C135" s="300">
        <f>C134*1.0725</f>
        <v>28.314</v>
      </c>
      <c r="D135" s="301"/>
    </row>
    <row r="136" spans="1:4" ht="15.75" thickTop="1" x14ac:dyDescent="0.25">
      <c r="A136" s="302" t="s">
        <v>195</v>
      </c>
      <c r="B136" s="227">
        <v>6</v>
      </c>
      <c r="C136" s="253">
        <v>130</v>
      </c>
      <c r="D136" s="303">
        <f>B136*C136</f>
        <v>780</v>
      </c>
    </row>
    <row r="137" spans="1:4" x14ac:dyDescent="0.25">
      <c r="A137" s="302" t="s">
        <v>196</v>
      </c>
      <c r="B137" s="227">
        <v>0</v>
      </c>
      <c r="C137" s="253">
        <v>700</v>
      </c>
      <c r="D137" s="303">
        <f>B137*C137</f>
        <v>0</v>
      </c>
    </row>
    <row r="138" spans="1:4" x14ac:dyDescent="0.25">
      <c r="A138" s="304" t="s">
        <v>23</v>
      </c>
      <c r="B138" s="116">
        <v>6</v>
      </c>
      <c r="C138" s="254">
        <v>70</v>
      </c>
      <c r="D138" s="305">
        <f>B138*C138</f>
        <v>420</v>
      </c>
    </row>
    <row r="139" spans="1:4" x14ac:dyDescent="0.25">
      <c r="A139" s="304" t="s">
        <v>197</v>
      </c>
      <c r="B139" s="116">
        <v>0</v>
      </c>
      <c r="C139" s="254">
        <v>0</v>
      </c>
      <c r="D139" s="305">
        <f>B139*C139</f>
        <v>0</v>
      </c>
    </row>
    <row r="140" spans="1:4" ht="15.75" thickBot="1" x14ac:dyDescent="0.3">
      <c r="A140" s="320" t="s">
        <v>198</v>
      </c>
      <c r="B140" s="321">
        <v>2</v>
      </c>
      <c r="C140" s="252">
        <v>100</v>
      </c>
      <c r="D140" s="322">
        <f>B140*C140</f>
        <v>200</v>
      </c>
    </row>
    <row r="141" spans="1:4" ht="15.75" thickTop="1" x14ac:dyDescent="0.25">
      <c r="A141" s="323" t="s">
        <v>199</v>
      </c>
      <c r="B141" s="257"/>
      <c r="C141" s="257"/>
      <c r="D141" s="324">
        <f>SUM(D136:D140)</f>
        <v>1400</v>
      </c>
    </row>
    <row r="142" spans="1:4" ht="15.75" thickBot="1" x14ac:dyDescent="0.3">
      <c r="A142" s="306" t="s">
        <v>213</v>
      </c>
      <c r="B142" s="307"/>
      <c r="C142" s="250"/>
      <c r="D142" s="308">
        <f>D141/B143</f>
        <v>12.903225806451612</v>
      </c>
    </row>
    <row r="143" spans="1:4" ht="15.75" thickTop="1" x14ac:dyDescent="0.25">
      <c r="A143" s="323" t="s">
        <v>214</v>
      </c>
      <c r="B143" s="247">
        <v>108.5</v>
      </c>
      <c r="C143" s="37"/>
      <c r="D143" s="309"/>
    </row>
    <row r="144" spans="1:4" x14ac:dyDescent="0.25">
      <c r="A144" s="304" t="s">
        <v>215</v>
      </c>
      <c r="B144" s="232">
        <f>C135+D142</f>
        <v>41.217225806451609</v>
      </c>
      <c r="C144" s="230"/>
      <c r="D144" s="298"/>
    </row>
    <row r="145" spans="1:6" x14ac:dyDescent="0.25">
      <c r="A145" s="304" t="s">
        <v>28</v>
      </c>
      <c r="B145" s="232">
        <f>B144*B143</f>
        <v>4472.0689999999995</v>
      </c>
      <c r="C145" s="230"/>
      <c r="D145" s="298"/>
    </row>
    <row r="146" spans="1:6" x14ac:dyDescent="0.25">
      <c r="A146" s="304" t="s">
        <v>200</v>
      </c>
      <c r="B146" s="325">
        <v>0.3</v>
      </c>
      <c r="C146" s="230"/>
      <c r="D146" s="298"/>
    </row>
    <row r="147" spans="1:6" x14ac:dyDescent="0.25">
      <c r="A147" s="304" t="s">
        <v>96</v>
      </c>
      <c r="B147" s="232">
        <f>B145*B146</f>
        <v>1341.6206999999997</v>
      </c>
      <c r="C147" s="230"/>
      <c r="D147" s="310"/>
    </row>
    <row r="148" spans="1:6" x14ac:dyDescent="0.25">
      <c r="A148" s="304" t="s">
        <v>201</v>
      </c>
      <c r="B148" s="311">
        <v>50</v>
      </c>
      <c r="C148" s="230"/>
      <c r="D148" s="310"/>
    </row>
    <row r="149" spans="1:6" x14ac:dyDescent="0.25">
      <c r="A149" s="312" t="s">
        <v>202</v>
      </c>
      <c r="B149" s="326">
        <f>B145+B147+B148</f>
        <v>5863.689699999999</v>
      </c>
      <c r="C149" s="313" t="s">
        <v>216</v>
      </c>
      <c r="D149" s="327">
        <f>B149/B143</f>
        <v>54.043223041474647</v>
      </c>
      <c r="E149">
        <v>25</v>
      </c>
      <c r="F149" s="205">
        <f>D149*E149</f>
        <v>1351.0805760368662</v>
      </c>
    </row>
    <row r="150" spans="1:6" ht="15.75" thickBot="1" x14ac:dyDescent="0.3">
      <c r="A150" s="314" t="s">
        <v>203</v>
      </c>
      <c r="B150" s="315">
        <f>AG31</f>
        <v>24</v>
      </c>
      <c r="C150" s="316" t="s">
        <v>204</v>
      </c>
      <c r="D150" s="328">
        <f>B149/B150</f>
        <v>244.32040416666663</v>
      </c>
      <c r="E150">
        <v>40</v>
      </c>
      <c r="F150" s="205">
        <f>D149*E150</f>
        <v>2161.7289216589861</v>
      </c>
    </row>
    <row r="151" spans="1:6" ht="15.75" thickBot="1" x14ac:dyDescent="0.3">
      <c r="A151" s="331"/>
      <c r="B151" s="332"/>
      <c r="C151" s="333"/>
      <c r="D151" s="334"/>
    </row>
    <row r="152" spans="1:6" ht="15.75" thickBot="1" x14ac:dyDescent="0.3">
      <c r="A152" s="289" t="s">
        <v>103</v>
      </c>
      <c r="B152" s="290"/>
      <c r="C152" s="291"/>
      <c r="D152" s="292"/>
    </row>
    <row r="153" spans="1:6" ht="15.75" thickBot="1" x14ac:dyDescent="0.3">
      <c r="A153" s="293" t="s">
        <v>209</v>
      </c>
      <c r="B153" s="294"/>
      <c r="C153" s="295">
        <f>I43</f>
        <v>29.97</v>
      </c>
      <c r="D153" s="296"/>
    </row>
    <row r="154" spans="1:6" x14ac:dyDescent="0.25">
      <c r="A154" s="293" t="s">
        <v>210</v>
      </c>
      <c r="B154" s="319">
        <v>0.3</v>
      </c>
      <c r="C154" s="229">
        <f>C153*B154</f>
        <v>8.9909999999999997</v>
      </c>
      <c r="D154" s="298"/>
    </row>
    <row r="155" spans="1:6" x14ac:dyDescent="0.25">
      <c r="A155" s="293" t="s">
        <v>211</v>
      </c>
      <c r="B155" s="297"/>
      <c r="C155" s="232">
        <f>SUM(C153:C154)</f>
        <v>38.960999999999999</v>
      </c>
      <c r="D155" s="298"/>
    </row>
    <row r="156" spans="1:6" ht="15.75" thickBot="1" x14ac:dyDescent="0.3">
      <c r="A156" s="299" t="s">
        <v>212</v>
      </c>
      <c r="B156" s="250"/>
      <c r="C156" s="300">
        <f>C155*1.0725</f>
        <v>41.785672499999997</v>
      </c>
      <c r="D156" s="301"/>
    </row>
    <row r="157" spans="1:6" ht="15.75" thickTop="1" x14ac:dyDescent="0.25">
      <c r="A157" s="302" t="s">
        <v>195</v>
      </c>
      <c r="B157" s="227">
        <v>12</v>
      </c>
      <c r="C157" s="253">
        <v>130</v>
      </c>
      <c r="D157" s="303">
        <f>B157*C157</f>
        <v>1560</v>
      </c>
    </row>
    <row r="158" spans="1:6" x14ac:dyDescent="0.25">
      <c r="A158" s="302" t="s">
        <v>196</v>
      </c>
      <c r="B158" s="227">
        <v>1</v>
      </c>
      <c r="C158" s="253">
        <v>700</v>
      </c>
      <c r="D158" s="303">
        <f>B158*C158</f>
        <v>700</v>
      </c>
    </row>
    <row r="159" spans="1:6" x14ac:dyDescent="0.25">
      <c r="A159" s="304" t="s">
        <v>23</v>
      </c>
      <c r="B159" s="116">
        <v>8</v>
      </c>
      <c r="C159" s="254">
        <v>70</v>
      </c>
      <c r="D159" s="305">
        <f>B159*C159</f>
        <v>560</v>
      </c>
    </row>
    <row r="160" spans="1:6" x14ac:dyDescent="0.25">
      <c r="A160" s="304" t="s">
        <v>197</v>
      </c>
      <c r="B160" s="116">
        <v>0</v>
      </c>
      <c r="C160" s="254">
        <v>0</v>
      </c>
      <c r="D160" s="305">
        <f>B160*C160</f>
        <v>0</v>
      </c>
    </row>
    <row r="161" spans="1:5" ht="15.75" thickBot="1" x14ac:dyDescent="0.3">
      <c r="A161" s="320" t="s">
        <v>198</v>
      </c>
      <c r="B161" s="321">
        <v>2</v>
      </c>
      <c r="C161" s="252">
        <v>100</v>
      </c>
      <c r="D161" s="322">
        <f>B161*C161</f>
        <v>200</v>
      </c>
    </row>
    <row r="162" spans="1:5" ht="15.75" thickTop="1" x14ac:dyDescent="0.25">
      <c r="A162" s="323" t="s">
        <v>199</v>
      </c>
      <c r="B162" s="257"/>
      <c r="C162" s="257"/>
      <c r="D162" s="324">
        <f>SUM(D157:D161)</f>
        <v>3020</v>
      </c>
    </row>
    <row r="163" spans="1:5" ht="15.75" thickBot="1" x14ac:dyDescent="0.3">
      <c r="A163" s="306" t="s">
        <v>213</v>
      </c>
      <c r="B163" s="307"/>
      <c r="C163" s="250"/>
      <c r="D163" s="308">
        <f>D162/B164</f>
        <v>251.66666666666666</v>
      </c>
    </row>
    <row r="164" spans="1:5" ht="15.75" thickTop="1" x14ac:dyDescent="0.25">
      <c r="A164" s="323" t="s">
        <v>214</v>
      </c>
      <c r="B164" s="247">
        <v>12</v>
      </c>
      <c r="C164" s="37"/>
      <c r="D164" s="309"/>
    </row>
    <row r="165" spans="1:5" x14ac:dyDescent="0.25">
      <c r="A165" s="304" t="s">
        <v>215</v>
      </c>
      <c r="B165" s="232">
        <f>C156+D163</f>
        <v>293.45233916666666</v>
      </c>
      <c r="C165" s="230"/>
      <c r="D165" s="298"/>
    </row>
    <row r="166" spans="1:5" x14ac:dyDescent="0.25">
      <c r="A166" s="304" t="s">
        <v>28</v>
      </c>
      <c r="B166" s="232">
        <f>B165*B164</f>
        <v>3521.4280699999999</v>
      </c>
      <c r="C166" s="230"/>
      <c r="D166" s="298"/>
    </row>
    <row r="167" spans="1:5" x14ac:dyDescent="0.25">
      <c r="A167" s="304" t="s">
        <v>200</v>
      </c>
      <c r="B167" s="325">
        <v>0.3</v>
      </c>
      <c r="C167" s="230"/>
      <c r="D167" s="298"/>
    </row>
    <row r="168" spans="1:5" x14ac:dyDescent="0.25">
      <c r="A168" s="304" t="s">
        <v>96</v>
      </c>
      <c r="B168" s="232">
        <f>B166*B167</f>
        <v>1056.4284209999998</v>
      </c>
      <c r="C168" s="230"/>
      <c r="D168" s="310"/>
    </row>
    <row r="169" spans="1:5" x14ac:dyDescent="0.25">
      <c r="A169" s="304" t="s">
        <v>201</v>
      </c>
      <c r="B169" s="311">
        <v>25</v>
      </c>
      <c r="C169" s="230"/>
      <c r="D169" s="310"/>
    </row>
    <row r="170" spans="1:5" x14ac:dyDescent="0.25">
      <c r="A170" s="312" t="s">
        <v>202</v>
      </c>
      <c r="B170" s="326">
        <f>B166+B168+B169</f>
        <v>4602.8564909999996</v>
      </c>
      <c r="C170" s="313" t="s">
        <v>216</v>
      </c>
      <c r="D170" s="327">
        <f>B170/B164</f>
        <v>383.57137424999996</v>
      </c>
    </row>
    <row r="171" spans="1:5" ht="15.75" thickBot="1" x14ac:dyDescent="0.3">
      <c r="A171" s="314" t="s">
        <v>203</v>
      </c>
      <c r="B171" s="315">
        <v>12</v>
      </c>
      <c r="C171" s="316" t="s">
        <v>204</v>
      </c>
      <c r="D171" s="328">
        <f>B170/B171</f>
        <v>383.57137424999996</v>
      </c>
    </row>
    <row r="173" spans="1:5" ht="15.75" x14ac:dyDescent="0.25">
      <c r="A173" s="1" t="s">
        <v>3</v>
      </c>
      <c r="B173" s="404" t="s">
        <v>226</v>
      </c>
      <c r="C173" s="404"/>
      <c r="D173" s="404"/>
      <c r="E173" s="404"/>
    </row>
    <row r="174" spans="1:5" ht="15.75" x14ac:dyDescent="0.25">
      <c r="A174" s="1" t="s">
        <v>4</v>
      </c>
      <c r="B174" s="404" t="s">
        <v>227</v>
      </c>
      <c r="C174" s="404"/>
      <c r="D174" s="404"/>
      <c r="E174" s="404"/>
    </row>
    <row r="175" spans="1:5" ht="16.5" thickBot="1" x14ac:dyDescent="0.3">
      <c r="A175" s="2" t="s">
        <v>6</v>
      </c>
      <c r="B175" s="388" t="s">
        <v>7</v>
      </c>
      <c r="C175" s="388"/>
      <c r="D175" s="388"/>
      <c r="E175" s="388"/>
    </row>
    <row r="176" spans="1:5" ht="16.5" thickBot="1" x14ac:dyDescent="0.3">
      <c r="A176" s="3" t="s">
        <v>8</v>
      </c>
      <c r="B176" s="405"/>
      <c r="C176" s="405"/>
      <c r="D176" s="405"/>
      <c r="E176" s="406"/>
    </row>
    <row r="177" spans="1:5" ht="15.75" thickBot="1" x14ac:dyDescent="0.3">
      <c r="A177" s="4" t="s">
        <v>9</v>
      </c>
      <c r="B177" s="5" t="s">
        <v>10</v>
      </c>
      <c r="C177" s="5" t="s">
        <v>11</v>
      </c>
      <c r="D177" s="5" t="s">
        <v>12</v>
      </c>
      <c r="E177" s="6" t="s">
        <v>13</v>
      </c>
    </row>
    <row r="178" spans="1:5" ht="15.75" thickTop="1" x14ac:dyDescent="0.25">
      <c r="A178" s="7" t="s">
        <v>228</v>
      </c>
      <c r="B178" s="8">
        <v>6</v>
      </c>
      <c r="C178" s="8">
        <v>6</v>
      </c>
      <c r="D178" s="8">
        <v>430</v>
      </c>
      <c r="E178" s="9">
        <f t="shared" ref="E178:E181" si="14">B178*C178*D178</f>
        <v>15480</v>
      </c>
    </row>
    <row r="179" spans="1:5" x14ac:dyDescent="0.25">
      <c r="A179" s="7" t="s">
        <v>229</v>
      </c>
      <c r="B179" s="8">
        <v>10</v>
      </c>
      <c r="C179" s="8">
        <v>10</v>
      </c>
      <c r="D179" s="8">
        <v>80</v>
      </c>
      <c r="E179" s="9">
        <f t="shared" si="14"/>
        <v>8000</v>
      </c>
    </row>
    <row r="180" spans="1:5" x14ac:dyDescent="0.25">
      <c r="A180" s="7"/>
      <c r="B180" s="8"/>
      <c r="C180" s="8"/>
      <c r="D180" s="8"/>
      <c r="E180" s="9">
        <f t="shared" si="14"/>
        <v>0</v>
      </c>
    </row>
    <row r="181" spans="1:5" ht="15.75" thickBot="1" x14ac:dyDescent="0.3">
      <c r="A181" s="10"/>
      <c r="B181" s="11"/>
      <c r="C181" s="11"/>
      <c r="D181" s="11"/>
      <c r="E181" s="12">
        <f t="shared" si="14"/>
        <v>0</v>
      </c>
    </row>
    <row r="182" spans="1:5" ht="15.75" thickTop="1" x14ac:dyDescent="0.25">
      <c r="A182" s="13" t="s">
        <v>14</v>
      </c>
      <c r="B182" s="14"/>
      <c r="C182" s="14"/>
      <c r="D182" s="14"/>
      <c r="E182" s="15">
        <f>SUM(E178:E181)</f>
        <v>23480</v>
      </c>
    </row>
    <row r="183" spans="1:5" ht="15.75" thickBot="1" x14ac:dyDescent="0.3">
      <c r="A183" s="16" t="s">
        <v>15</v>
      </c>
      <c r="B183" s="16">
        <v>1728</v>
      </c>
      <c r="C183" s="16"/>
      <c r="D183" s="16"/>
      <c r="E183" s="17">
        <f>E182/B183</f>
        <v>13.587962962962964</v>
      </c>
    </row>
    <row r="184" spans="1:5" ht="15.75" thickBot="1" x14ac:dyDescent="0.3">
      <c r="A184" s="16" t="s">
        <v>16</v>
      </c>
      <c r="B184" s="16"/>
      <c r="C184" s="16"/>
      <c r="D184" s="18"/>
      <c r="E184" s="19">
        <v>60</v>
      </c>
    </row>
    <row r="185" spans="1:5" ht="15.75" thickBot="1" x14ac:dyDescent="0.3">
      <c r="A185" s="16" t="s">
        <v>17</v>
      </c>
      <c r="B185" s="20"/>
      <c r="C185" s="16"/>
      <c r="D185" s="16"/>
      <c r="E185" s="21">
        <f>E183*E184</f>
        <v>815.27777777777783</v>
      </c>
    </row>
    <row r="186" spans="1:5" ht="15.75" thickBot="1" x14ac:dyDescent="0.3">
      <c r="A186" s="18" t="s">
        <v>18</v>
      </c>
      <c r="B186" s="22">
        <v>0.3</v>
      </c>
      <c r="C186" s="23"/>
      <c r="D186" s="16"/>
      <c r="E186" s="24">
        <f>E185*B186</f>
        <v>244.58333333333334</v>
      </c>
    </row>
    <row r="187" spans="1:5" x14ac:dyDescent="0.25">
      <c r="A187" s="16" t="s">
        <v>19</v>
      </c>
      <c r="B187" s="13"/>
      <c r="C187" s="16"/>
      <c r="D187" s="16"/>
      <c r="E187" s="24">
        <f>SUM(E185:E186)</f>
        <v>1059.8611111111111</v>
      </c>
    </row>
    <row r="188" spans="1:5" ht="15.75" thickBot="1" x14ac:dyDescent="0.3">
      <c r="A188" s="25" t="s">
        <v>20</v>
      </c>
      <c r="B188" s="25"/>
      <c r="C188" s="25"/>
      <c r="D188" s="25"/>
      <c r="E188" s="26">
        <f>E187*1.0725</f>
        <v>1136.7010416666667</v>
      </c>
    </row>
    <row r="189" spans="1:5" ht="15.75" thickTop="1" x14ac:dyDescent="0.25">
      <c r="A189" s="16" t="s">
        <v>21</v>
      </c>
      <c r="B189" s="27">
        <v>6</v>
      </c>
      <c r="C189" s="28">
        <v>130</v>
      </c>
      <c r="D189" s="29">
        <f>B189*C189</f>
        <v>780</v>
      </c>
      <c r="E189" s="18"/>
    </row>
    <row r="190" spans="1:5" x14ac:dyDescent="0.25">
      <c r="A190" s="16" t="s">
        <v>22</v>
      </c>
      <c r="B190" s="27">
        <v>2</v>
      </c>
      <c r="C190" s="28">
        <v>700</v>
      </c>
      <c r="D190" s="29">
        <f>B190*C190</f>
        <v>1400</v>
      </c>
      <c r="E190" s="18"/>
    </row>
    <row r="191" spans="1:5" x14ac:dyDescent="0.25">
      <c r="A191" s="16" t="s">
        <v>23</v>
      </c>
      <c r="B191" s="27">
        <v>16</v>
      </c>
      <c r="C191" s="28">
        <v>70</v>
      </c>
      <c r="D191" s="29">
        <f>B191*C191</f>
        <v>1120</v>
      </c>
      <c r="E191" s="18"/>
    </row>
    <row r="192" spans="1:5" x14ac:dyDescent="0.25">
      <c r="A192" s="16" t="s">
        <v>24</v>
      </c>
      <c r="B192" s="27">
        <v>0</v>
      </c>
      <c r="C192" s="28">
        <v>400</v>
      </c>
      <c r="D192" s="29">
        <f>B192*C192</f>
        <v>0</v>
      </c>
      <c r="E192" s="18"/>
    </row>
    <row r="193" spans="1:9" ht="15.75" thickBot="1" x14ac:dyDescent="0.3">
      <c r="A193" s="25" t="s">
        <v>25</v>
      </c>
      <c r="B193" s="30">
        <v>2</v>
      </c>
      <c r="C193" s="31">
        <v>100</v>
      </c>
      <c r="D193" s="32">
        <f>B193*C193</f>
        <v>200</v>
      </c>
      <c r="E193" s="12"/>
    </row>
    <row r="194" spans="1:9" ht="16.5" thickTop="1" thickBot="1" x14ac:dyDescent="0.3">
      <c r="A194" s="33" t="s">
        <v>26</v>
      </c>
      <c r="B194" s="33"/>
      <c r="C194" s="34"/>
      <c r="D194" s="35"/>
      <c r="E194" s="36">
        <f>SUM(D189:D193)</f>
        <v>3500</v>
      </c>
    </row>
    <row r="195" spans="1:9" x14ac:dyDescent="0.25">
      <c r="A195" s="13" t="s">
        <v>27</v>
      </c>
      <c r="B195" s="13"/>
      <c r="C195" s="13"/>
      <c r="D195" s="37"/>
      <c r="E195" s="38">
        <v>25</v>
      </c>
    </row>
    <row r="196" spans="1:9" x14ac:dyDescent="0.25">
      <c r="A196" s="16" t="s">
        <v>28</v>
      </c>
      <c r="B196" s="16"/>
      <c r="C196" s="16"/>
      <c r="D196" s="29"/>
      <c r="E196" s="39">
        <f>E188+E194+E195</f>
        <v>4661.7010416666672</v>
      </c>
    </row>
    <row r="197" spans="1:9" ht="15.75" thickBot="1" x14ac:dyDescent="0.3">
      <c r="A197" s="9" t="s">
        <v>29</v>
      </c>
      <c r="B197" s="40">
        <v>0.27</v>
      </c>
      <c r="C197" s="41"/>
      <c r="D197" s="42"/>
      <c r="E197" s="21">
        <f>E196*B197</f>
        <v>1258.6592812500003</v>
      </c>
    </row>
    <row r="198" spans="1:9" x14ac:dyDescent="0.25">
      <c r="A198" s="16" t="s">
        <v>30</v>
      </c>
      <c r="B198" s="43"/>
      <c r="C198" s="16"/>
      <c r="D198" s="29"/>
      <c r="E198" s="24">
        <f>SUM(E196:E197)</f>
        <v>5920.3603229166674</v>
      </c>
    </row>
    <row r="199" spans="1:9" x14ac:dyDescent="0.25">
      <c r="A199" s="16" t="s">
        <v>31</v>
      </c>
      <c r="B199" s="44">
        <v>0.15</v>
      </c>
      <c r="C199" s="16"/>
      <c r="D199" s="16"/>
      <c r="E199" s="24">
        <f>E198*B199</f>
        <v>888.05404843750011</v>
      </c>
    </row>
    <row r="200" spans="1:9" x14ac:dyDescent="0.25">
      <c r="A200" s="45" t="s">
        <v>32</v>
      </c>
      <c r="B200" s="45"/>
      <c r="C200" s="45"/>
      <c r="D200" s="45"/>
      <c r="E200" s="46">
        <f>SUM(E198:E199)</f>
        <v>6808.4143713541671</v>
      </c>
    </row>
    <row r="203" spans="1:9" ht="15.75" thickBot="1" x14ac:dyDescent="0.3"/>
    <row r="204" spans="1:9" ht="16.5" thickBot="1" x14ac:dyDescent="0.3">
      <c r="A204" s="1" t="s">
        <v>0</v>
      </c>
      <c r="B204" s="395" t="s">
        <v>249</v>
      </c>
      <c r="C204" s="395"/>
      <c r="D204" s="396"/>
      <c r="E204" s="397" t="s">
        <v>44</v>
      </c>
      <c r="F204" s="398"/>
      <c r="G204" s="398"/>
      <c r="H204" s="398"/>
      <c r="I204" s="399"/>
    </row>
    <row r="205" spans="1:9" ht="15.75" x14ac:dyDescent="0.25">
      <c r="A205" s="1" t="s">
        <v>1</v>
      </c>
      <c r="B205" s="395" t="s">
        <v>100</v>
      </c>
      <c r="C205" s="395"/>
      <c r="D205" s="396"/>
      <c r="E205" s="400"/>
      <c r="F205" s="401"/>
      <c r="G205" s="401"/>
      <c r="H205" s="401"/>
      <c r="I205" s="402"/>
    </row>
    <row r="206" spans="1:9" ht="15.75" x14ac:dyDescent="0.25">
      <c r="A206" s="2" t="s">
        <v>45</v>
      </c>
      <c r="B206" s="396"/>
      <c r="C206" s="403"/>
      <c r="D206" s="403"/>
      <c r="E206" s="390"/>
      <c r="F206" s="391"/>
      <c r="G206" s="391"/>
      <c r="H206" s="391"/>
      <c r="I206" s="392"/>
    </row>
    <row r="207" spans="1:9" ht="15.75" x14ac:dyDescent="0.25">
      <c r="A207" s="2" t="s">
        <v>2</v>
      </c>
      <c r="B207" s="388">
        <v>45741</v>
      </c>
      <c r="C207" s="388"/>
      <c r="D207" s="389"/>
      <c r="E207" s="390"/>
      <c r="F207" s="391"/>
      <c r="G207" s="391"/>
      <c r="H207" s="391"/>
      <c r="I207" s="392"/>
    </row>
    <row r="208" spans="1:9" ht="15.75" x14ac:dyDescent="0.25">
      <c r="A208" s="70" t="s">
        <v>46</v>
      </c>
      <c r="B208" s="393"/>
      <c r="C208" s="394"/>
      <c r="D208" s="394"/>
      <c r="E208" s="390"/>
      <c r="F208" s="391"/>
      <c r="G208" s="391"/>
      <c r="H208" s="391"/>
      <c r="I208" s="392"/>
    </row>
    <row r="209" spans="1:33" ht="15.75" x14ac:dyDescent="0.25">
      <c r="A209" s="70" t="s">
        <v>47</v>
      </c>
      <c r="B209" s="393" t="s">
        <v>101</v>
      </c>
      <c r="C209" s="394"/>
      <c r="D209" s="394"/>
      <c r="E209" s="390"/>
      <c r="F209" s="391"/>
      <c r="G209" s="391"/>
      <c r="H209" s="391"/>
      <c r="I209" s="392"/>
    </row>
    <row r="210" spans="1:33" ht="16.5" thickBot="1" x14ac:dyDescent="0.3">
      <c r="A210" s="71" t="s">
        <v>8</v>
      </c>
      <c r="B210" s="376">
        <v>8776</v>
      </c>
      <c r="C210" s="377"/>
      <c r="D210" s="377"/>
      <c r="E210" s="378"/>
      <c r="F210" s="379"/>
      <c r="G210" s="379"/>
      <c r="H210" s="379"/>
      <c r="I210" s="380"/>
    </row>
    <row r="211" spans="1:33" ht="15.75" thickBot="1" x14ac:dyDescent="0.3">
      <c r="A211" s="72" t="s">
        <v>48</v>
      </c>
      <c r="B211" s="381" t="s">
        <v>49</v>
      </c>
      <c r="C211" s="382"/>
      <c r="D211" s="382"/>
      <c r="E211" s="382"/>
      <c r="F211" s="383"/>
      <c r="G211" s="73"/>
      <c r="H211" s="73"/>
      <c r="I211" s="384" t="s">
        <v>50</v>
      </c>
      <c r="J211" s="385"/>
      <c r="K211" s="386" t="s">
        <v>51</v>
      </c>
      <c r="L211" s="387"/>
      <c r="M211" s="387"/>
      <c r="N211" s="367" t="s">
        <v>52</v>
      </c>
      <c r="O211" s="367"/>
      <c r="P211" s="367"/>
      <c r="Q211" s="368"/>
      <c r="R211" s="367"/>
      <c r="S211" s="369"/>
      <c r="T211" s="370" t="s">
        <v>124</v>
      </c>
      <c r="U211" s="367"/>
      <c r="V211" s="367"/>
      <c r="W211" s="370" t="s">
        <v>53</v>
      </c>
      <c r="X211" s="367"/>
      <c r="Y211" s="369"/>
      <c r="Z211" s="371" t="s">
        <v>54</v>
      </c>
      <c r="AA211" s="372"/>
      <c r="AB211" s="372"/>
      <c r="AC211" s="372"/>
      <c r="AD211" s="373"/>
      <c r="AE211" s="374" t="s">
        <v>55</v>
      </c>
      <c r="AF211" s="374"/>
      <c r="AG211" s="375"/>
    </row>
    <row r="212" spans="1:33" ht="45.75" thickBot="1" x14ac:dyDescent="0.3">
      <c r="A212" s="75" t="s">
        <v>56</v>
      </c>
      <c r="B212" s="76" t="s">
        <v>57</v>
      </c>
      <c r="C212" s="77" t="s">
        <v>58</v>
      </c>
      <c r="D212" s="78" t="s">
        <v>59</v>
      </c>
      <c r="E212" s="79" t="s">
        <v>60</v>
      </c>
      <c r="F212" s="79" t="s">
        <v>61</v>
      </c>
      <c r="G212" s="210" t="s">
        <v>107</v>
      </c>
      <c r="H212" s="80" t="s">
        <v>62</v>
      </c>
      <c r="I212" s="81" t="s">
        <v>63</v>
      </c>
      <c r="J212" s="82" t="s">
        <v>64</v>
      </c>
      <c r="K212" s="83" t="s">
        <v>65</v>
      </c>
      <c r="L212" s="84" t="s">
        <v>66</v>
      </c>
      <c r="M212" s="85" t="s">
        <v>67</v>
      </c>
      <c r="N212" s="317" t="s">
        <v>206</v>
      </c>
      <c r="O212" s="317" t="s">
        <v>207</v>
      </c>
      <c r="P212" s="86" t="s">
        <v>104</v>
      </c>
      <c r="Q212" s="207" t="s">
        <v>105</v>
      </c>
      <c r="R212" s="208" t="s">
        <v>106</v>
      </c>
      <c r="S212" s="216" t="s">
        <v>68</v>
      </c>
      <c r="T212" s="87" t="s">
        <v>69</v>
      </c>
      <c r="U212" s="87" t="s">
        <v>70</v>
      </c>
      <c r="V212" s="74" t="s">
        <v>71</v>
      </c>
      <c r="W212" s="87" t="s">
        <v>72</v>
      </c>
      <c r="X212" s="87" t="s">
        <v>73</v>
      </c>
      <c r="Y212" s="87" t="s">
        <v>74</v>
      </c>
      <c r="Z212" s="88" t="s">
        <v>75</v>
      </c>
      <c r="AA212" s="89" t="s">
        <v>76</v>
      </c>
      <c r="AB212" s="206" t="s">
        <v>103</v>
      </c>
      <c r="AC212" s="215" t="s">
        <v>121</v>
      </c>
      <c r="AD212" s="335" t="s">
        <v>77</v>
      </c>
      <c r="AE212" s="90" t="s">
        <v>69</v>
      </c>
      <c r="AF212" s="91" t="s">
        <v>70</v>
      </c>
      <c r="AG212" s="92" t="s">
        <v>55</v>
      </c>
    </row>
    <row r="213" spans="1:33" x14ac:dyDescent="0.25">
      <c r="A213" s="93" t="s">
        <v>246</v>
      </c>
      <c r="B213" s="94">
        <v>10.25</v>
      </c>
      <c r="C213" s="95">
        <v>6.5</v>
      </c>
      <c r="D213" s="96">
        <f t="shared" ref="D213" si="15">B213*C213</f>
        <v>66.625</v>
      </c>
      <c r="E213" s="97"/>
      <c r="F213" s="340">
        <f t="shared" ref="F213:F233" si="16">C213*E213</f>
        <v>0</v>
      </c>
      <c r="G213" s="341" t="s">
        <v>108</v>
      </c>
      <c r="H213" s="98"/>
      <c r="I213" s="99">
        <f>B213</f>
        <v>10.25</v>
      </c>
      <c r="J213" s="100"/>
      <c r="K213" s="101"/>
      <c r="L213" s="102"/>
      <c r="M213" s="103">
        <f>K213*L213</f>
        <v>0</v>
      </c>
      <c r="N213" s="104"/>
      <c r="O213" s="318"/>
      <c r="P213" s="105">
        <v>10.5</v>
      </c>
      <c r="Q213" s="106"/>
      <c r="R213" s="105"/>
      <c r="S213" s="105"/>
      <c r="T213" s="107"/>
      <c r="U213" s="108"/>
      <c r="V213" s="109">
        <f t="shared" ref="V213:V233" si="17">T213*U213</f>
        <v>0</v>
      </c>
      <c r="W213" s="110"/>
      <c r="X213" s="110"/>
      <c r="Y213" s="111">
        <f>W213*X213</f>
        <v>0</v>
      </c>
      <c r="Z213" s="112"/>
      <c r="AA213" s="113"/>
      <c r="AB213" s="113"/>
      <c r="AC213" s="114"/>
      <c r="AD213" s="336"/>
      <c r="AE213" s="115"/>
      <c r="AF213" s="116"/>
      <c r="AG213" s="117">
        <f t="shared" ref="AG213:AG214" si="18">AE213*AF213</f>
        <v>0</v>
      </c>
    </row>
    <row r="214" spans="1:33" x14ac:dyDescent="0.25">
      <c r="A214" s="93" t="s">
        <v>250</v>
      </c>
      <c r="B214" s="94">
        <v>5</v>
      </c>
      <c r="C214" s="95">
        <v>8</v>
      </c>
      <c r="D214" s="96">
        <f>B214*C214-H214</f>
        <v>40</v>
      </c>
      <c r="E214" s="97"/>
      <c r="F214" s="211">
        <f t="shared" si="16"/>
        <v>0</v>
      </c>
      <c r="G214" s="341" t="s">
        <v>108</v>
      </c>
      <c r="H214" s="118"/>
      <c r="I214" s="99">
        <f t="shared" ref="I214:I233" si="19">B214</f>
        <v>5</v>
      </c>
      <c r="J214" s="93"/>
      <c r="K214" s="119"/>
      <c r="L214" s="120"/>
      <c r="M214" s="121">
        <f t="shared" ref="M214:M233" si="20">K214*L214</f>
        <v>0</v>
      </c>
      <c r="N214" s="104"/>
      <c r="O214" s="318"/>
      <c r="P214" s="105"/>
      <c r="Q214" s="106"/>
      <c r="R214" s="105"/>
      <c r="S214" s="105"/>
      <c r="T214" s="122"/>
      <c r="U214" s="123"/>
      <c r="V214" s="105">
        <f t="shared" si="17"/>
        <v>0</v>
      </c>
      <c r="W214" s="123"/>
      <c r="X214" s="123"/>
      <c r="Y214" s="124">
        <f t="shared" ref="Y214" si="21">W214*X214</f>
        <v>0</v>
      </c>
      <c r="Z214" s="112"/>
      <c r="AA214" s="113"/>
      <c r="AB214" s="113"/>
      <c r="AC214" s="114"/>
      <c r="AD214" s="336"/>
      <c r="AE214" s="115"/>
      <c r="AF214" s="116"/>
      <c r="AG214" s="117">
        <f t="shared" si="18"/>
        <v>0</v>
      </c>
    </row>
    <row r="215" spans="1:33" x14ac:dyDescent="0.25">
      <c r="A215" s="93" t="s">
        <v>251</v>
      </c>
      <c r="B215" s="94">
        <v>23</v>
      </c>
      <c r="C215" s="95">
        <v>10</v>
      </c>
      <c r="D215" s="96">
        <f t="shared" ref="D215" si="22">B215*C215</f>
        <v>230</v>
      </c>
      <c r="E215" s="97"/>
      <c r="F215" s="211">
        <f t="shared" si="16"/>
        <v>0</v>
      </c>
      <c r="G215" s="341" t="s">
        <v>108</v>
      </c>
      <c r="H215" s="118">
        <v>50</v>
      </c>
      <c r="I215" s="99">
        <v>15</v>
      </c>
      <c r="J215" s="93">
        <v>10</v>
      </c>
      <c r="K215" s="119"/>
      <c r="L215" s="120"/>
      <c r="M215" s="121">
        <f t="shared" si="20"/>
        <v>0</v>
      </c>
      <c r="N215" s="104">
        <v>10</v>
      </c>
      <c r="O215" s="318"/>
      <c r="P215" s="105">
        <v>4.5</v>
      </c>
      <c r="Q215" s="106"/>
      <c r="R215" s="105"/>
      <c r="S215" s="105"/>
      <c r="T215" s="122"/>
      <c r="U215" s="123"/>
      <c r="V215" s="105">
        <f t="shared" si="17"/>
        <v>0</v>
      </c>
      <c r="W215" s="123"/>
      <c r="X215" s="123"/>
      <c r="Y215" s="124"/>
      <c r="Z215" s="112"/>
      <c r="AA215" s="113"/>
      <c r="AB215" s="113"/>
      <c r="AC215" s="114"/>
      <c r="AD215" s="336"/>
      <c r="AE215" s="115"/>
      <c r="AF215" s="116"/>
      <c r="AG215" s="117"/>
    </row>
    <row r="216" spans="1:33" x14ac:dyDescent="0.25">
      <c r="A216" s="93" t="s">
        <v>245</v>
      </c>
      <c r="B216" s="94">
        <v>2</v>
      </c>
      <c r="C216" s="95">
        <v>10</v>
      </c>
      <c r="D216" s="96">
        <f>B216*C216-H216</f>
        <v>20</v>
      </c>
      <c r="E216" s="97"/>
      <c r="F216" s="211">
        <f t="shared" si="16"/>
        <v>0</v>
      </c>
      <c r="G216" s="341" t="s">
        <v>108</v>
      </c>
      <c r="H216" s="118"/>
      <c r="I216" s="99">
        <f t="shared" si="19"/>
        <v>2</v>
      </c>
      <c r="J216" s="93"/>
      <c r="K216" s="119"/>
      <c r="L216" s="120"/>
      <c r="M216" s="121">
        <f t="shared" si="20"/>
        <v>0</v>
      </c>
      <c r="N216" s="104"/>
      <c r="O216" s="318"/>
      <c r="P216" s="105"/>
      <c r="Q216" s="106"/>
      <c r="R216" s="105"/>
      <c r="S216" s="105"/>
      <c r="T216" s="122"/>
      <c r="U216" s="123"/>
      <c r="V216" s="105">
        <f t="shared" si="17"/>
        <v>0</v>
      </c>
      <c r="W216" s="123"/>
      <c r="X216" s="123"/>
      <c r="Y216" s="124">
        <f t="shared" ref="Y216:Y233" si="23">W216*X216</f>
        <v>0</v>
      </c>
      <c r="Z216" s="112"/>
      <c r="AA216" s="113"/>
      <c r="AB216" s="113"/>
      <c r="AC216" s="114"/>
      <c r="AD216" s="336"/>
      <c r="AE216" s="115"/>
      <c r="AF216" s="116"/>
      <c r="AG216" s="117">
        <f t="shared" ref="AG216:AG233" si="24">AE216*AF216</f>
        <v>0</v>
      </c>
    </row>
    <row r="217" spans="1:33" x14ac:dyDescent="0.25">
      <c r="A217" s="93" t="s">
        <v>245</v>
      </c>
      <c r="B217" s="94">
        <v>24</v>
      </c>
      <c r="C217" s="95">
        <v>8</v>
      </c>
      <c r="D217" s="96">
        <f t="shared" ref="D217:D226" si="25">B217*C217</f>
        <v>192</v>
      </c>
      <c r="E217" s="97"/>
      <c r="F217" s="211">
        <f t="shared" si="16"/>
        <v>0</v>
      </c>
      <c r="G217" s="341" t="s">
        <v>108</v>
      </c>
      <c r="H217" s="118">
        <v>15</v>
      </c>
      <c r="I217" s="99">
        <f t="shared" si="19"/>
        <v>24</v>
      </c>
      <c r="J217" s="93"/>
      <c r="K217" s="119"/>
      <c r="L217" s="120"/>
      <c r="M217" s="121">
        <f t="shared" si="20"/>
        <v>0</v>
      </c>
      <c r="N217" s="104"/>
      <c r="O217" s="318"/>
      <c r="P217" s="105">
        <v>11</v>
      </c>
      <c r="Q217" s="106"/>
      <c r="R217" s="105"/>
      <c r="S217" s="105"/>
      <c r="T217" s="122"/>
      <c r="U217" s="123"/>
      <c r="V217" s="105">
        <f t="shared" si="17"/>
        <v>0</v>
      </c>
      <c r="W217" s="123"/>
      <c r="X217" s="123"/>
      <c r="Y217" s="124">
        <f t="shared" si="23"/>
        <v>0</v>
      </c>
      <c r="Z217" s="112"/>
      <c r="AA217" s="113"/>
      <c r="AB217" s="113"/>
      <c r="AC217" s="114"/>
      <c r="AD217" s="336"/>
      <c r="AE217" s="115"/>
      <c r="AF217" s="116"/>
      <c r="AG217" s="117">
        <f t="shared" si="24"/>
        <v>0</v>
      </c>
    </row>
    <row r="218" spans="1:33" x14ac:dyDescent="0.25">
      <c r="A218" s="93" t="s">
        <v>245</v>
      </c>
      <c r="B218" s="94">
        <v>2.5</v>
      </c>
      <c r="C218" s="95">
        <v>10</v>
      </c>
      <c r="D218" s="96">
        <f t="shared" si="25"/>
        <v>25</v>
      </c>
      <c r="E218" s="97"/>
      <c r="F218" s="211">
        <f t="shared" si="16"/>
        <v>0</v>
      </c>
      <c r="G218" s="341" t="s">
        <v>108</v>
      </c>
      <c r="H218" s="118"/>
      <c r="I218" s="99">
        <f t="shared" si="19"/>
        <v>2.5</v>
      </c>
      <c r="J218" s="93"/>
      <c r="K218" s="119"/>
      <c r="L218" s="120"/>
      <c r="M218" s="121">
        <f t="shared" si="20"/>
        <v>0</v>
      </c>
      <c r="N218" s="104"/>
      <c r="O218" s="318"/>
      <c r="P218" s="105"/>
      <c r="Q218" s="106"/>
      <c r="R218" s="105"/>
      <c r="S218" s="105"/>
      <c r="T218" s="122"/>
      <c r="U218" s="123"/>
      <c r="V218" s="105">
        <f t="shared" si="17"/>
        <v>0</v>
      </c>
      <c r="W218" s="123"/>
      <c r="X218" s="123"/>
      <c r="Y218" s="124">
        <f t="shared" si="23"/>
        <v>0</v>
      </c>
      <c r="Z218" s="112"/>
      <c r="AA218" s="113"/>
      <c r="AB218" s="113"/>
      <c r="AC218" s="114"/>
      <c r="AD218" s="336"/>
      <c r="AE218" s="115"/>
      <c r="AF218" s="116"/>
      <c r="AG218" s="117">
        <f t="shared" si="24"/>
        <v>0</v>
      </c>
    </row>
    <row r="219" spans="1:33" x14ac:dyDescent="0.25">
      <c r="A219" s="93" t="s">
        <v>252</v>
      </c>
      <c r="B219" s="94">
        <v>25</v>
      </c>
      <c r="C219" s="95">
        <v>1</v>
      </c>
      <c r="D219" s="96">
        <f t="shared" si="25"/>
        <v>25</v>
      </c>
      <c r="E219" s="97"/>
      <c r="F219" s="211">
        <f t="shared" si="16"/>
        <v>0</v>
      </c>
      <c r="G219" s="341" t="s">
        <v>108</v>
      </c>
      <c r="H219" s="118"/>
      <c r="I219" s="99">
        <f t="shared" si="19"/>
        <v>25</v>
      </c>
      <c r="J219" s="93"/>
      <c r="K219" s="119"/>
      <c r="L219" s="120"/>
      <c r="M219" s="121">
        <f t="shared" si="20"/>
        <v>0</v>
      </c>
      <c r="N219" s="104"/>
      <c r="O219" s="318"/>
      <c r="P219" s="105">
        <v>25</v>
      </c>
      <c r="Q219" s="106"/>
      <c r="R219" s="105"/>
      <c r="S219" s="105"/>
      <c r="T219" s="122"/>
      <c r="U219" s="123"/>
      <c r="V219" s="105">
        <f t="shared" si="17"/>
        <v>0</v>
      </c>
      <c r="W219" s="123"/>
      <c r="X219" s="123"/>
      <c r="Y219" s="124">
        <f t="shared" si="23"/>
        <v>0</v>
      </c>
      <c r="Z219" s="112"/>
      <c r="AA219" s="113"/>
      <c r="AB219" s="113"/>
      <c r="AC219" s="114"/>
      <c r="AD219" s="336"/>
      <c r="AE219" s="115"/>
      <c r="AF219" s="116"/>
      <c r="AG219" s="117">
        <f t="shared" si="24"/>
        <v>0</v>
      </c>
    </row>
    <row r="220" spans="1:33" x14ac:dyDescent="0.25">
      <c r="A220" s="93" t="s">
        <v>252</v>
      </c>
      <c r="B220" s="94">
        <v>5</v>
      </c>
      <c r="C220" s="95">
        <v>1</v>
      </c>
      <c r="D220" s="96">
        <f t="shared" si="25"/>
        <v>5</v>
      </c>
      <c r="E220" s="97"/>
      <c r="F220" s="211">
        <f t="shared" si="16"/>
        <v>0</v>
      </c>
      <c r="G220" s="341" t="s">
        <v>108</v>
      </c>
      <c r="H220" s="118"/>
      <c r="I220" s="99">
        <f t="shared" si="19"/>
        <v>5</v>
      </c>
      <c r="J220" s="93"/>
      <c r="K220" s="119"/>
      <c r="L220" s="120"/>
      <c r="M220" s="121">
        <f t="shared" si="20"/>
        <v>0</v>
      </c>
      <c r="N220" s="104"/>
      <c r="O220" s="318"/>
      <c r="P220" s="105">
        <v>5</v>
      </c>
      <c r="Q220" s="106"/>
      <c r="R220" s="105"/>
      <c r="S220" s="105"/>
      <c r="T220" s="122"/>
      <c r="U220" s="123"/>
      <c r="V220" s="105">
        <f t="shared" si="17"/>
        <v>0</v>
      </c>
      <c r="W220" s="123"/>
      <c r="X220" s="123"/>
      <c r="Y220" s="124">
        <f t="shared" si="23"/>
        <v>0</v>
      </c>
      <c r="Z220" s="112"/>
      <c r="AA220" s="113"/>
      <c r="AB220" s="113"/>
      <c r="AC220" s="114"/>
      <c r="AD220" s="336"/>
      <c r="AE220" s="115"/>
      <c r="AF220" s="116"/>
      <c r="AG220" s="117">
        <f t="shared" si="24"/>
        <v>0</v>
      </c>
    </row>
    <row r="221" spans="1:33" x14ac:dyDescent="0.25">
      <c r="A221" s="93" t="s">
        <v>253</v>
      </c>
      <c r="B221" s="94"/>
      <c r="C221" s="95"/>
      <c r="D221" s="96">
        <f t="shared" si="25"/>
        <v>0</v>
      </c>
      <c r="E221" s="97"/>
      <c r="F221" s="211">
        <f t="shared" si="16"/>
        <v>0</v>
      </c>
      <c r="G221" s="341" t="s">
        <v>108</v>
      </c>
      <c r="H221" s="118"/>
      <c r="I221" s="99">
        <f t="shared" si="19"/>
        <v>0</v>
      </c>
      <c r="J221" s="93"/>
      <c r="K221" s="119"/>
      <c r="L221" s="120"/>
      <c r="M221" s="121">
        <f t="shared" si="20"/>
        <v>0</v>
      </c>
      <c r="N221" s="104"/>
      <c r="O221" s="318"/>
      <c r="P221" s="105"/>
      <c r="Q221" s="106"/>
      <c r="R221" s="105"/>
      <c r="S221" s="105"/>
      <c r="T221" s="122"/>
      <c r="U221" s="123"/>
      <c r="V221" s="105">
        <f t="shared" si="17"/>
        <v>0</v>
      </c>
      <c r="W221" s="123"/>
      <c r="X221" s="123"/>
      <c r="Y221" s="124">
        <f t="shared" si="23"/>
        <v>0</v>
      </c>
      <c r="Z221" s="112"/>
      <c r="AA221" s="113"/>
      <c r="AB221" s="113"/>
      <c r="AC221" s="114">
        <v>1</v>
      </c>
      <c r="AD221" s="336"/>
      <c r="AE221" s="115"/>
      <c r="AF221" s="116"/>
      <c r="AG221" s="117">
        <f t="shared" si="24"/>
        <v>0</v>
      </c>
    </row>
    <row r="222" spans="1:33" x14ac:dyDescent="0.25">
      <c r="A222" s="93" t="s">
        <v>254</v>
      </c>
      <c r="B222" s="94">
        <v>17.5</v>
      </c>
      <c r="C222" s="95">
        <v>3</v>
      </c>
      <c r="D222" s="96">
        <f t="shared" si="25"/>
        <v>52.5</v>
      </c>
      <c r="E222" s="97"/>
      <c r="F222" s="211">
        <f t="shared" si="16"/>
        <v>0</v>
      </c>
      <c r="G222" s="213" t="s">
        <v>108</v>
      </c>
      <c r="H222" s="118"/>
      <c r="I222" s="99">
        <f t="shared" si="19"/>
        <v>17.5</v>
      </c>
      <c r="J222" s="93"/>
      <c r="K222" s="119"/>
      <c r="L222" s="120"/>
      <c r="M222" s="121">
        <f t="shared" si="20"/>
        <v>0</v>
      </c>
      <c r="N222" s="104"/>
      <c r="O222" s="318"/>
      <c r="P222" s="105"/>
      <c r="Q222" s="106">
        <v>18</v>
      </c>
      <c r="R222" s="105"/>
      <c r="S222" s="105"/>
      <c r="T222" s="122"/>
      <c r="U222" s="123"/>
      <c r="V222" s="105">
        <f t="shared" si="17"/>
        <v>0</v>
      </c>
      <c r="W222" s="123"/>
      <c r="X222" s="123"/>
      <c r="Y222" s="124">
        <f t="shared" si="23"/>
        <v>0</v>
      </c>
      <c r="Z222" s="112"/>
      <c r="AA222" s="113"/>
      <c r="AB222" s="113"/>
      <c r="AC222" s="114"/>
      <c r="AD222" s="336">
        <v>2</v>
      </c>
      <c r="AE222" s="115"/>
      <c r="AF222" s="116"/>
      <c r="AG222" s="117">
        <f t="shared" si="24"/>
        <v>0</v>
      </c>
    </row>
    <row r="223" spans="1:33" x14ac:dyDescent="0.25">
      <c r="A223" s="93" t="s">
        <v>255</v>
      </c>
      <c r="B223" s="279">
        <v>16</v>
      </c>
      <c r="C223" s="280">
        <v>3</v>
      </c>
      <c r="D223" s="281">
        <f t="shared" si="25"/>
        <v>48</v>
      </c>
      <c r="E223" s="282">
        <v>4</v>
      </c>
      <c r="F223" s="285">
        <f t="shared" si="16"/>
        <v>12</v>
      </c>
      <c r="G223" s="286" t="s">
        <v>112</v>
      </c>
      <c r="H223" s="118"/>
      <c r="I223" s="99"/>
      <c r="J223" s="93"/>
      <c r="K223" s="119"/>
      <c r="L223" s="120"/>
      <c r="M223" s="121">
        <f t="shared" si="20"/>
        <v>0</v>
      </c>
      <c r="N223" s="104"/>
      <c r="O223" s="318"/>
      <c r="P223" s="105"/>
      <c r="Q223" s="106"/>
      <c r="R223" s="105"/>
      <c r="S223" s="105"/>
      <c r="T223" s="122"/>
      <c r="U223" s="123"/>
      <c r="V223" s="105">
        <f t="shared" si="17"/>
        <v>0</v>
      </c>
      <c r="W223" s="123"/>
      <c r="X223" s="123"/>
      <c r="Y223" s="124">
        <f t="shared" si="23"/>
        <v>0</v>
      </c>
      <c r="Z223" s="112"/>
      <c r="AA223" s="113"/>
      <c r="AB223" s="113"/>
      <c r="AC223" s="114"/>
      <c r="AD223" s="336"/>
      <c r="AE223" s="115">
        <v>6</v>
      </c>
      <c r="AF223" s="116">
        <v>4</v>
      </c>
      <c r="AG223" s="117">
        <f t="shared" si="24"/>
        <v>24</v>
      </c>
    </row>
    <row r="224" spans="1:33" x14ac:dyDescent="0.25">
      <c r="A224" s="93"/>
      <c r="B224" s="94"/>
      <c r="C224" s="95"/>
      <c r="D224" s="96">
        <f t="shared" si="25"/>
        <v>0</v>
      </c>
      <c r="E224" s="97"/>
      <c r="F224" s="211">
        <f t="shared" si="16"/>
        <v>0</v>
      </c>
      <c r="G224" s="213" t="s">
        <v>108</v>
      </c>
      <c r="H224" s="118"/>
      <c r="I224" s="99">
        <f t="shared" si="19"/>
        <v>0</v>
      </c>
      <c r="J224" s="93"/>
      <c r="K224" s="119"/>
      <c r="L224" s="120"/>
      <c r="M224" s="121">
        <f t="shared" si="20"/>
        <v>0</v>
      </c>
      <c r="N224" s="104"/>
      <c r="O224" s="318"/>
      <c r="P224" s="105"/>
      <c r="Q224" s="106"/>
      <c r="R224" s="105"/>
      <c r="S224" s="105"/>
      <c r="T224" s="122"/>
      <c r="U224" s="123"/>
      <c r="V224" s="105">
        <f t="shared" si="17"/>
        <v>0</v>
      </c>
      <c r="W224" s="123"/>
      <c r="X224" s="123"/>
      <c r="Y224" s="124">
        <f t="shared" si="23"/>
        <v>0</v>
      </c>
      <c r="Z224" s="112"/>
      <c r="AA224" s="113"/>
      <c r="AB224" s="113"/>
      <c r="AC224" s="114"/>
      <c r="AD224" s="336"/>
      <c r="AE224" s="115"/>
      <c r="AF224" s="116"/>
      <c r="AG224" s="117">
        <f t="shared" si="24"/>
        <v>0</v>
      </c>
    </row>
    <row r="225" spans="1:33" x14ac:dyDescent="0.25">
      <c r="A225" s="93"/>
      <c r="B225" s="94"/>
      <c r="C225" s="95"/>
      <c r="D225" s="96">
        <f t="shared" si="25"/>
        <v>0</v>
      </c>
      <c r="E225" s="97"/>
      <c r="F225" s="211">
        <f t="shared" si="16"/>
        <v>0</v>
      </c>
      <c r="G225" s="213" t="s">
        <v>108</v>
      </c>
      <c r="H225" s="118"/>
      <c r="I225" s="99">
        <f t="shared" si="19"/>
        <v>0</v>
      </c>
      <c r="J225" s="93"/>
      <c r="K225" s="119"/>
      <c r="L225" s="120"/>
      <c r="M225" s="121">
        <f t="shared" si="20"/>
        <v>0</v>
      </c>
      <c r="N225" s="104"/>
      <c r="O225" s="318"/>
      <c r="P225" s="105"/>
      <c r="Q225" s="106"/>
      <c r="R225" s="105"/>
      <c r="S225" s="105"/>
      <c r="T225" s="122"/>
      <c r="U225" s="123"/>
      <c r="V225" s="105">
        <f t="shared" si="17"/>
        <v>0</v>
      </c>
      <c r="W225" s="123"/>
      <c r="X225" s="123"/>
      <c r="Y225" s="124">
        <f t="shared" si="23"/>
        <v>0</v>
      </c>
      <c r="Z225" s="112"/>
      <c r="AA225" s="113"/>
      <c r="AB225" s="113"/>
      <c r="AC225" s="114"/>
      <c r="AD225" s="336"/>
      <c r="AE225" s="115"/>
      <c r="AF225" s="116"/>
      <c r="AG225" s="117">
        <f t="shared" si="24"/>
        <v>0</v>
      </c>
    </row>
    <row r="226" spans="1:33" x14ac:dyDescent="0.25">
      <c r="A226" s="93"/>
      <c r="B226" s="94"/>
      <c r="C226" s="95"/>
      <c r="D226" s="96">
        <f t="shared" si="25"/>
        <v>0</v>
      </c>
      <c r="E226" s="97"/>
      <c r="F226" s="211">
        <f t="shared" si="16"/>
        <v>0</v>
      </c>
      <c r="G226" s="213" t="s">
        <v>108</v>
      </c>
      <c r="H226" s="118"/>
      <c r="I226" s="99">
        <f t="shared" si="19"/>
        <v>0</v>
      </c>
      <c r="J226" s="93"/>
      <c r="K226" s="119"/>
      <c r="L226" s="120"/>
      <c r="M226" s="121">
        <f t="shared" si="20"/>
        <v>0</v>
      </c>
      <c r="N226" s="104"/>
      <c r="O226" s="318"/>
      <c r="P226" s="105"/>
      <c r="Q226" s="106"/>
      <c r="R226" s="105"/>
      <c r="S226" s="105"/>
      <c r="T226" s="122"/>
      <c r="U226" s="123"/>
      <c r="V226" s="105">
        <f t="shared" si="17"/>
        <v>0</v>
      </c>
      <c r="W226" s="123"/>
      <c r="X226" s="123"/>
      <c r="Y226" s="124">
        <f t="shared" si="23"/>
        <v>0</v>
      </c>
      <c r="Z226" s="112"/>
      <c r="AA226" s="113"/>
      <c r="AB226" s="113"/>
      <c r="AC226" s="114"/>
      <c r="AD226" s="336"/>
      <c r="AE226" s="115"/>
      <c r="AF226" s="116"/>
      <c r="AG226" s="117">
        <f t="shared" si="24"/>
        <v>0</v>
      </c>
    </row>
    <row r="227" spans="1:33" x14ac:dyDescent="0.25">
      <c r="A227" s="93"/>
      <c r="B227" s="94"/>
      <c r="C227" s="95"/>
      <c r="D227" s="96">
        <f>B227*C227-H227</f>
        <v>0</v>
      </c>
      <c r="E227" s="97"/>
      <c r="F227" s="211">
        <f t="shared" si="16"/>
        <v>0</v>
      </c>
      <c r="G227" s="213" t="s">
        <v>108</v>
      </c>
      <c r="H227" s="118"/>
      <c r="I227" s="99">
        <f t="shared" si="19"/>
        <v>0</v>
      </c>
      <c r="J227" s="93"/>
      <c r="K227" s="119"/>
      <c r="L227" s="120"/>
      <c r="M227" s="121">
        <f t="shared" si="20"/>
        <v>0</v>
      </c>
      <c r="N227" s="104"/>
      <c r="O227" s="318"/>
      <c r="P227" s="105"/>
      <c r="Q227" s="106"/>
      <c r="R227" s="105"/>
      <c r="S227" s="105"/>
      <c r="T227" s="122"/>
      <c r="U227" s="123"/>
      <c r="V227" s="105">
        <f t="shared" si="17"/>
        <v>0</v>
      </c>
      <c r="W227" s="123"/>
      <c r="X227" s="123"/>
      <c r="Y227" s="124">
        <f t="shared" si="23"/>
        <v>0</v>
      </c>
      <c r="Z227" s="112"/>
      <c r="AA227" s="113"/>
      <c r="AB227" s="113"/>
      <c r="AC227" s="114"/>
      <c r="AD227" s="336"/>
      <c r="AE227" s="115"/>
      <c r="AF227" s="116"/>
      <c r="AG227" s="117">
        <f t="shared" si="24"/>
        <v>0</v>
      </c>
    </row>
    <row r="228" spans="1:33" x14ac:dyDescent="0.25">
      <c r="A228" s="93"/>
      <c r="B228" s="94"/>
      <c r="C228" s="95"/>
      <c r="D228" s="96">
        <f t="shared" ref="D228:D233" si="26">B228*C228</f>
        <v>0</v>
      </c>
      <c r="E228" s="97"/>
      <c r="F228" s="211">
        <f t="shared" si="16"/>
        <v>0</v>
      </c>
      <c r="G228" s="213" t="s">
        <v>108</v>
      </c>
      <c r="H228" s="118"/>
      <c r="I228" s="99">
        <f t="shared" si="19"/>
        <v>0</v>
      </c>
      <c r="J228" s="93"/>
      <c r="K228" s="119"/>
      <c r="L228" s="120"/>
      <c r="M228" s="121">
        <f t="shared" si="20"/>
        <v>0</v>
      </c>
      <c r="N228" s="104"/>
      <c r="O228" s="318"/>
      <c r="P228" s="105"/>
      <c r="Q228" s="106"/>
      <c r="R228" s="105"/>
      <c r="S228" s="105"/>
      <c r="T228" s="122"/>
      <c r="U228" s="123"/>
      <c r="V228" s="105">
        <f t="shared" si="17"/>
        <v>0</v>
      </c>
      <c r="W228" s="123"/>
      <c r="X228" s="123"/>
      <c r="Y228" s="124">
        <f t="shared" si="23"/>
        <v>0</v>
      </c>
      <c r="Z228" s="112"/>
      <c r="AA228" s="113"/>
      <c r="AB228" s="113"/>
      <c r="AC228" s="114"/>
      <c r="AD228" s="336"/>
      <c r="AE228" s="115"/>
      <c r="AF228" s="116"/>
      <c r="AG228" s="117">
        <f t="shared" si="24"/>
        <v>0</v>
      </c>
    </row>
    <row r="229" spans="1:33" x14ac:dyDescent="0.25">
      <c r="A229" s="93"/>
      <c r="B229" s="94"/>
      <c r="C229" s="95"/>
      <c r="D229" s="96">
        <f t="shared" si="26"/>
        <v>0</v>
      </c>
      <c r="E229" s="97"/>
      <c r="F229" s="211">
        <f t="shared" si="16"/>
        <v>0</v>
      </c>
      <c r="G229" s="213" t="s">
        <v>108</v>
      </c>
      <c r="H229" s="118"/>
      <c r="I229" s="99">
        <f t="shared" si="19"/>
        <v>0</v>
      </c>
      <c r="J229" s="93"/>
      <c r="K229" s="119"/>
      <c r="L229" s="120"/>
      <c r="M229" s="121">
        <f t="shared" si="20"/>
        <v>0</v>
      </c>
      <c r="N229" s="104"/>
      <c r="O229" s="318"/>
      <c r="P229" s="105"/>
      <c r="Q229" s="106"/>
      <c r="R229" s="105"/>
      <c r="S229" s="105"/>
      <c r="T229" s="122"/>
      <c r="U229" s="123"/>
      <c r="V229" s="105">
        <f t="shared" si="17"/>
        <v>0</v>
      </c>
      <c r="W229" s="123"/>
      <c r="X229" s="123"/>
      <c r="Y229" s="124">
        <f t="shared" si="23"/>
        <v>0</v>
      </c>
      <c r="Z229" s="112"/>
      <c r="AA229" s="113"/>
      <c r="AB229" s="113"/>
      <c r="AC229" s="114"/>
      <c r="AD229" s="336"/>
      <c r="AE229" s="115"/>
      <c r="AF229" s="116"/>
      <c r="AG229" s="117">
        <f t="shared" si="24"/>
        <v>0</v>
      </c>
    </row>
    <row r="230" spans="1:33" x14ac:dyDescent="0.25">
      <c r="A230" s="93"/>
      <c r="B230" s="94"/>
      <c r="C230" s="95"/>
      <c r="D230" s="96">
        <f t="shared" si="26"/>
        <v>0</v>
      </c>
      <c r="E230" s="97"/>
      <c r="F230" s="211">
        <f t="shared" si="16"/>
        <v>0</v>
      </c>
      <c r="G230" s="213" t="s">
        <v>108</v>
      </c>
      <c r="H230" s="118"/>
      <c r="I230" s="99">
        <f t="shared" si="19"/>
        <v>0</v>
      </c>
      <c r="J230" s="93"/>
      <c r="K230" s="119"/>
      <c r="L230" s="120"/>
      <c r="M230" s="121">
        <f t="shared" si="20"/>
        <v>0</v>
      </c>
      <c r="N230" s="104"/>
      <c r="O230" s="318"/>
      <c r="P230" s="105"/>
      <c r="Q230" s="106"/>
      <c r="R230" s="105"/>
      <c r="S230" s="105"/>
      <c r="T230" s="122"/>
      <c r="U230" s="123"/>
      <c r="V230" s="105">
        <f t="shared" si="17"/>
        <v>0</v>
      </c>
      <c r="W230" s="123"/>
      <c r="X230" s="123"/>
      <c r="Y230" s="124">
        <f t="shared" si="23"/>
        <v>0</v>
      </c>
      <c r="Z230" s="112"/>
      <c r="AA230" s="113"/>
      <c r="AB230" s="113"/>
      <c r="AC230" s="114"/>
      <c r="AD230" s="336"/>
      <c r="AE230" s="115"/>
      <c r="AF230" s="116"/>
      <c r="AG230" s="117">
        <f t="shared" si="24"/>
        <v>0</v>
      </c>
    </row>
    <row r="231" spans="1:33" ht="15.75" thickBot="1" x14ac:dyDescent="0.3">
      <c r="A231" s="93"/>
      <c r="B231" s="94"/>
      <c r="C231" s="95"/>
      <c r="D231" s="96">
        <f t="shared" si="26"/>
        <v>0</v>
      </c>
      <c r="E231" s="97"/>
      <c r="F231" s="212">
        <f t="shared" si="16"/>
        <v>0</v>
      </c>
      <c r="G231" s="214"/>
      <c r="H231" s="125">
        <f t="shared" ref="H231:H232" si="27">SUM(F231)</f>
        <v>0</v>
      </c>
      <c r="I231" s="99">
        <f t="shared" si="19"/>
        <v>0</v>
      </c>
      <c r="J231" s="127"/>
      <c r="K231" s="128"/>
      <c r="L231" s="129"/>
      <c r="M231" s="130">
        <f t="shared" si="20"/>
        <v>0</v>
      </c>
      <c r="N231" s="104"/>
      <c r="O231" s="318"/>
      <c r="P231" s="105"/>
      <c r="Q231" s="105"/>
      <c r="R231" s="105"/>
      <c r="S231" s="105"/>
      <c r="T231" s="131"/>
      <c r="U231" s="132"/>
      <c r="V231" s="133">
        <f t="shared" si="17"/>
        <v>0</v>
      </c>
      <c r="W231" s="134"/>
      <c r="X231" s="134"/>
      <c r="Y231" s="135">
        <f t="shared" si="23"/>
        <v>0</v>
      </c>
      <c r="Z231" s="136"/>
      <c r="AA231" s="137"/>
      <c r="AB231" s="137"/>
      <c r="AC231" s="138"/>
      <c r="AD231" s="337"/>
      <c r="AE231" s="115"/>
      <c r="AF231" s="116"/>
      <c r="AG231" s="117">
        <f t="shared" si="24"/>
        <v>0</v>
      </c>
    </row>
    <row r="232" spans="1:33" ht="15.75" thickBot="1" x14ac:dyDescent="0.3">
      <c r="A232" s="93"/>
      <c r="B232" s="94"/>
      <c r="C232" s="95"/>
      <c r="D232" s="96">
        <f t="shared" si="26"/>
        <v>0</v>
      </c>
      <c r="E232" s="97"/>
      <c r="F232" s="212">
        <f t="shared" si="16"/>
        <v>0</v>
      </c>
      <c r="G232" s="214"/>
      <c r="H232" s="125">
        <f t="shared" si="27"/>
        <v>0</v>
      </c>
      <c r="I232" s="99">
        <f t="shared" si="19"/>
        <v>0</v>
      </c>
      <c r="J232" s="127"/>
      <c r="K232" s="128"/>
      <c r="L232" s="129"/>
      <c r="M232" s="130">
        <f t="shared" si="20"/>
        <v>0</v>
      </c>
      <c r="N232" s="104"/>
      <c r="O232" s="318"/>
      <c r="P232" s="105"/>
      <c r="Q232" s="105"/>
      <c r="R232" s="105"/>
      <c r="S232" s="105"/>
      <c r="T232" s="131"/>
      <c r="U232" s="132"/>
      <c r="V232" s="133">
        <f t="shared" si="17"/>
        <v>0</v>
      </c>
      <c r="W232" s="134"/>
      <c r="X232" s="134"/>
      <c r="Y232" s="135">
        <f t="shared" si="23"/>
        <v>0</v>
      </c>
      <c r="Z232" s="136"/>
      <c r="AA232" s="137"/>
      <c r="AB232" s="137"/>
      <c r="AC232" s="138"/>
      <c r="AD232" s="337"/>
      <c r="AE232" s="115"/>
      <c r="AF232" s="116"/>
      <c r="AG232" s="117">
        <f t="shared" si="24"/>
        <v>0</v>
      </c>
    </row>
    <row r="233" spans="1:33" ht="15.75" thickBot="1" x14ac:dyDescent="0.3">
      <c r="A233" s="93"/>
      <c r="B233" s="94"/>
      <c r="C233" s="95"/>
      <c r="D233" s="96">
        <f t="shared" si="26"/>
        <v>0</v>
      </c>
      <c r="E233" s="97"/>
      <c r="F233" s="212">
        <f t="shared" si="16"/>
        <v>0</v>
      </c>
      <c r="G233" s="214"/>
      <c r="H233" s="125">
        <f>SUM(F233)</f>
        <v>0</v>
      </c>
      <c r="I233" s="339">
        <f t="shared" si="19"/>
        <v>0</v>
      </c>
      <c r="J233" s="127"/>
      <c r="K233" s="128"/>
      <c r="L233" s="129"/>
      <c r="M233" s="130">
        <f t="shared" si="20"/>
        <v>0</v>
      </c>
      <c r="N233" s="104"/>
      <c r="O233" s="318"/>
      <c r="P233" s="105"/>
      <c r="Q233" s="105"/>
      <c r="R233" s="105"/>
      <c r="S233" s="105"/>
      <c r="T233" s="131"/>
      <c r="U233" s="132"/>
      <c r="V233" s="133">
        <f t="shared" si="17"/>
        <v>0</v>
      </c>
      <c r="W233" s="134"/>
      <c r="X233" s="134"/>
      <c r="Y233" s="135">
        <f t="shared" si="23"/>
        <v>0</v>
      </c>
      <c r="Z233" s="136"/>
      <c r="AA233" s="137"/>
      <c r="AB233" s="137"/>
      <c r="AC233" s="138"/>
      <c r="AD233" s="337"/>
      <c r="AE233" s="115"/>
      <c r="AF233" s="116"/>
      <c r="AG233" s="117">
        <f t="shared" si="24"/>
        <v>0</v>
      </c>
    </row>
    <row r="234" spans="1:33" ht="15.75" thickBot="1" x14ac:dyDescent="0.3">
      <c r="A234" s="139" t="s">
        <v>78</v>
      </c>
      <c r="B234" s="140"/>
      <c r="C234" s="141"/>
      <c r="D234" s="142">
        <f>SUM(D213:D233)</f>
        <v>704.125</v>
      </c>
      <c r="E234" s="143"/>
      <c r="F234" s="143">
        <f>SUM(F213:F233)</f>
        <v>12</v>
      </c>
      <c r="G234" s="209"/>
      <c r="H234" s="144"/>
      <c r="I234" s="146">
        <f>SUM(I213:I233)</f>
        <v>106.25</v>
      </c>
      <c r="J234" s="146">
        <f>SUM(J213:J233)</f>
        <v>10</v>
      </c>
      <c r="K234" s="359" t="s">
        <v>79</v>
      </c>
      <c r="L234" s="360"/>
      <c r="M234" s="147">
        <f t="shared" ref="M234:S234" si="28">SUM(M213:M233)</f>
        <v>0</v>
      </c>
      <c r="N234" s="148">
        <f t="shared" si="28"/>
        <v>10</v>
      </c>
      <c r="O234" s="148">
        <f t="shared" si="28"/>
        <v>0</v>
      </c>
      <c r="P234" s="149">
        <f t="shared" si="28"/>
        <v>56</v>
      </c>
      <c r="Q234" s="149">
        <f t="shared" si="28"/>
        <v>18</v>
      </c>
      <c r="R234" s="150">
        <f t="shared" si="28"/>
        <v>0</v>
      </c>
      <c r="S234" s="150">
        <f t="shared" si="28"/>
        <v>0</v>
      </c>
      <c r="T234" s="151"/>
      <c r="U234" s="149"/>
      <c r="V234" s="150">
        <f>SUM(V213:V233)</f>
        <v>0</v>
      </c>
      <c r="W234" s="151"/>
      <c r="X234" s="152"/>
      <c r="Y234" s="153">
        <f t="shared" ref="Y234:AD234" si="29">SUM(Y213:Y233)</f>
        <v>0</v>
      </c>
      <c r="Z234" s="154">
        <f t="shared" si="29"/>
        <v>0</v>
      </c>
      <c r="AA234" s="155">
        <f t="shared" si="29"/>
        <v>0</v>
      </c>
      <c r="AB234" s="155">
        <f t="shared" si="29"/>
        <v>0</v>
      </c>
      <c r="AC234" s="156">
        <f t="shared" si="29"/>
        <v>1</v>
      </c>
      <c r="AD234" s="338">
        <f t="shared" si="29"/>
        <v>2</v>
      </c>
      <c r="AE234" s="361" t="s">
        <v>80</v>
      </c>
      <c r="AF234" s="362"/>
      <c r="AG234" s="157">
        <f>SUM(AG213:AG233)</f>
        <v>24</v>
      </c>
    </row>
    <row r="235" spans="1:33" ht="16.5" thickBot="1" x14ac:dyDescent="0.3">
      <c r="A235" s="158" t="s">
        <v>81</v>
      </c>
      <c r="B235" s="158">
        <f>(B237+B239)/40</f>
        <v>16.403124999999999</v>
      </c>
      <c r="C235" s="159" t="s">
        <v>82</v>
      </c>
      <c r="D235" s="160">
        <f>D234-H234</f>
        <v>704.125</v>
      </c>
      <c r="E235" s="161"/>
      <c r="F235" s="161">
        <f>F234*1.15</f>
        <v>13.799999999999999</v>
      </c>
      <c r="G235" s="161"/>
      <c r="H235" s="162"/>
      <c r="I235" s="163"/>
      <c r="J235" s="164"/>
      <c r="K235" s="363" t="s">
        <v>83</v>
      </c>
      <c r="L235" s="364"/>
      <c r="M235" s="165">
        <f>M234*1.125</f>
        <v>0</v>
      </c>
      <c r="N235" s="166">
        <f>N234*1.1</f>
        <v>11</v>
      </c>
      <c r="O235" s="166"/>
      <c r="P235" s="167">
        <f t="shared" ref="P235:S235" si="30">P234*1.1</f>
        <v>61.600000000000009</v>
      </c>
      <c r="Q235" s="167">
        <f t="shared" si="30"/>
        <v>19.8</v>
      </c>
      <c r="R235" s="167">
        <f t="shared" si="30"/>
        <v>0</v>
      </c>
      <c r="S235" s="168">
        <f t="shared" si="30"/>
        <v>0</v>
      </c>
      <c r="T235" s="365"/>
      <c r="U235" s="366"/>
      <c r="V235" s="169">
        <f t="shared" ref="V235" si="31">V234*1.1</f>
        <v>0</v>
      </c>
      <c r="W235" s="365"/>
      <c r="X235" s="366"/>
      <c r="Y235" s="169">
        <f>Y234*1.15</f>
        <v>0</v>
      </c>
      <c r="Z235" s="170">
        <f>Z234</f>
        <v>0</v>
      </c>
      <c r="AA235" s="170">
        <f t="shared" ref="AA235:AD235" si="32">AA234</f>
        <v>0</v>
      </c>
      <c r="AB235" s="170">
        <f t="shared" si="32"/>
        <v>0</v>
      </c>
      <c r="AC235" s="170">
        <f t="shared" si="32"/>
        <v>1</v>
      </c>
      <c r="AD235" s="170">
        <f t="shared" si="32"/>
        <v>2</v>
      </c>
      <c r="AE235" s="171" t="s">
        <v>84</v>
      </c>
      <c r="AF235" s="172"/>
      <c r="AG235" s="173">
        <v>0</v>
      </c>
    </row>
    <row r="236" spans="1:33" ht="15.75" thickBot="1" x14ac:dyDescent="0.3">
      <c r="A236" s="174" t="s">
        <v>85</v>
      </c>
      <c r="B236" s="175">
        <f>B235/15</f>
        <v>1.0935416666666666</v>
      </c>
      <c r="C236" s="349" t="s">
        <v>86</v>
      </c>
      <c r="D236" s="350"/>
      <c r="E236" s="176"/>
      <c r="F236" s="177"/>
      <c r="G236" s="177"/>
      <c r="H236" s="177"/>
      <c r="I236" s="177"/>
      <c r="J236" s="178"/>
      <c r="K236" s="351" t="s">
        <v>87</v>
      </c>
      <c r="L236" s="352"/>
      <c r="M236" s="179"/>
      <c r="N236" s="353" t="s">
        <v>88</v>
      </c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5"/>
      <c r="Z236" s="356" t="s">
        <v>89</v>
      </c>
      <c r="AA236" s="357"/>
      <c r="AB236" s="357"/>
      <c r="AC236" s="357"/>
      <c r="AD236" s="358"/>
      <c r="AE236" s="180" t="s">
        <v>90</v>
      </c>
      <c r="AF236" s="181"/>
      <c r="AG236" s="157">
        <v>0</v>
      </c>
    </row>
    <row r="237" spans="1:33" x14ac:dyDescent="0.25">
      <c r="A237" s="329" t="s">
        <v>193</v>
      </c>
      <c r="B237" s="330">
        <f>D235-B239-B240-B238</f>
        <v>603.625</v>
      </c>
      <c r="C237" s="183">
        <v>25</v>
      </c>
      <c r="D237" s="184">
        <f>B237*C237</f>
        <v>15090.625</v>
      </c>
    </row>
    <row r="238" spans="1:33" x14ac:dyDescent="0.25">
      <c r="A238" s="329" t="s">
        <v>192</v>
      </c>
      <c r="B238" s="330">
        <v>0</v>
      </c>
      <c r="C238" s="183">
        <v>23</v>
      </c>
      <c r="D238" s="184">
        <f>B238*C238</f>
        <v>0</v>
      </c>
    </row>
    <row r="239" spans="1:33" x14ac:dyDescent="0.25">
      <c r="A239" s="185" t="s">
        <v>190</v>
      </c>
      <c r="B239" s="182">
        <f>D222</f>
        <v>52.5</v>
      </c>
      <c r="C239" s="183">
        <v>35</v>
      </c>
      <c r="D239" s="184">
        <f t="shared" ref="D239:D242" si="33">B239*C239</f>
        <v>1837.5</v>
      </c>
    </row>
    <row r="240" spans="1:33" x14ac:dyDescent="0.25">
      <c r="A240" s="185" t="s">
        <v>191</v>
      </c>
      <c r="B240" s="182">
        <f>D223</f>
        <v>48</v>
      </c>
      <c r="C240" s="183">
        <v>32</v>
      </c>
      <c r="D240" s="184">
        <f t="shared" si="33"/>
        <v>1536</v>
      </c>
    </row>
    <row r="241" spans="1:9" x14ac:dyDescent="0.25">
      <c r="A241" s="186" t="s">
        <v>91</v>
      </c>
      <c r="B241" s="187">
        <f>SUM(N234:Y234)</f>
        <v>84</v>
      </c>
      <c r="C241" s="183">
        <v>25</v>
      </c>
      <c r="D241" s="184">
        <f t="shared" si="33"/>
        <v>2100</v>
      </c>
    </row>
    <row r="242" spans="1:9" ht="15.75" thickBot="1" x14ac:dyDescent="0.3">
      <c r="A242" s="188" t="s">
        <v>92</v>
      </c>
      <c r="B242" s="189">
        <f>I234+J234</f>
        <v>116.25</v>
      </c>
      <c r="C242" s="190">
        <v>25</v>
      </c>
      <c r="D242" s="191">
        <f t="shared" si="33"/>
        <v>2906.25</v>
      </c>
      <c r="F242" t="s">
        <v>189</v>
      </c>
    </row>
    <row r="243" spans="1:9" ht="15.75" thickTop="1" x14ac:dyDescent="0.25">
      <c r="A243" s="192" t="s">
        <v>93</v>
      </c>
      <c r="B243" s="193">
        <f>B238+B240</f>
        <v>48</v>
      </c>
      <c r="C243" s="194" t="s">
        <v>94</v>
      </c>
      <c r="D243" s="195">
        <f>SUM(D237:D242)</f>
        <v>23470.375</v>
      </c>
    </row>
    <row r="244" spans="1:9" ht="15.75" thickBot="1" x14ac:dyDescent="0.3">
      <c r="A244" s="196" t="s">
        <v>95</v>
      </c>
      <c r="B244" s="197">
        <f>F234/3</f>
        <v>4</v>
      </c>
      <c r="C244" s="198" t="s">
        <v>96</v>
      </c>
      <c r="D244" s="199">
        <f>D243*1.1</f>
        <v>25817.412500000002</v>
      </c>
      <c r="F244" s="230"/>
      <c r="G244" s="230"/>
      <c r="H244" s="230"/>
      <c r="I244" s="230"/>
    </row>
    <row r="245" spans="1:9" x14ac:dyDescent="0.25">
      <c r="A245" s="196" t="s">
        <v>97</v>
      </c>
      <c r="B245" s="200">
        <f>B243-B244</f>
        <v>44</v>
      </c>
      <c r="F245" s="230"/>
      <c r="G245" s="254"/>
      <c r="H245" s="254"/>
      <c r="I245" s="254"/>
    </row>
    <row r="246" spans="1:9" ht="15.75" thickBot="1" x14ac:dyDescent="0.3">
      <c r="A246" s="201" t="s">
        <v>194</v>
      </c>
      <c r="B246" s="202">
        <f>B245*1.1</f>
        <v>48.400000000000006</v>
      </c>
      <c r="F246" s="230"/>
      <c r="G246" s="254"/>
      <c r="H246" s="254"/>
      <c r="I246" s="254"/>
    </row>
  </sheetData>
  <mergeCells count="66">
    <mergeCell ref="B1:D1"/>
    <mergeCell ref="E1:I1"/>
    <mergeCell ref="B2:D2"/>
    <mergeCell ref="E2:I2"/>
    <mergeCell ref="B3:D3"/>
    <mergeCell ref="E3:I3"/>
    <mergeCell ref="B4:D4"/>
    <mergeCell ref="E4:I4"/>
    <mergeCell ref="B5:D5"/>
    <mergeCell ref="E5:I5"/>
    <mergeCell ref="B6:D6"/>
    <mergeCell ref="E6:I6"/>
    <mergeCell ref="B7:D7"/>
    <mergeCell ref="E7:I7"/>
    <mergeCell ref="B8:F8"/>
    <mergeCell ref="I8:J8"/>
    <mergeCell ref="K8:M8"/>
    <mergeCell ref="T8:V8"/>
    <mergeCell ref="W8:Y8"/>
    <mergeCell ref="Z8:AD8"/>
    <mergeCell ref="AE8:AG8"/>
    <mergeCell ref="K31:L31"/>
    <mergeCell ref="AE31:AF31"/>
    <mergeCell ref="N8:S8"/>
    <mergeCell ref="K32:L32"/>
    <mergeCell ref="T32:U32"/>
    <mergeCell ref="W32:X32"/>
    <mergeCell ref="C33:D33"/>
    <mergeCell ref="K33:L33"/>
    <mergeCell ref="N33:Y33"/>
    <mergeCell ref="Z33:AD33"/>
    <mergeCell ref="B173:E173"/>
    <mergeCell ref="B174:E174"/>
    <mergeCell ref="B175:E175"/>
    <mergeCell ref="B176:E176"/>
    <mergeCell ref="B204:D204"/>
    <mergeCell ref="E204:I204"/>
    <mergeCell ref="B205:D205"/>
    <mergeCell ref="E205:I205"/>
    <mergeCell ref="B206:D206"/>
    <mergeCell ref="E206:I206"/>
    <mergeCell ref="B207:D207"/>
    <mergeCell ref="E207:I207"/>
    <mergeCell ref="B208:D208"/>
    <mergeCell ref="E208:I208"/>
    <mergeCell ref="B209:D209"/>
    <mergeCell ref="E209:I209"/>
    <mergeCell ref="B210:D210"/>
    <mergeCell ref="E210:I210"/>
    <mergeCell ref="B211:F211"/>
    <mergeCell ref="I211:J211"/>
    <mergeCell ref="K211:M211"/>
    <mergeCell ref="AE234:AF234"/>
    <mergeCell ref="K235:L235"/>
    <mergeCell ref="T235:U235"/>
    <mergeCell ref="W235:X235"/>
    <mergeCell ref="N211:S211"/>
    <mergeCell ref="T211:V211"/>
    <mergeCell ref="W211:Y211"/>
    <mergeCell ref="Z211:AD211"/>
    <mergeCell ref="AE211:AG211"/>
    <mergeCell ref="C236:D236"/>
    <mergeCell ref="K236:L236"/>
    <mergeCell ref="N236:Y236"/>
    <mergeCell ref="Z236:AD236"/>
    <mergeCell ref="K234:L2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360B-A162-4A10-B5DE-F0E5251D4868}">
  <dimension ref="A1:AG249"/>
  <sheetViews>
    <sheetView topLeftCell="A230" workbookViewId="0">
      <selection activeCell="B249" sqref="B249"/>
    </sheetView>
  </sheetViews>
  <sheetFormatPr defaultRowHeight="15" x14ac:dyDescent="0.25"/>
  <cols>
    <col min="1" max="1" width="31.85546875" bestFit="1" customWidth="1"/>
    <col min="2" max="2" width="11.5703125" bestFit="1" customWidth="1"/>
    <col min="3" max="3" width="10.5703125" bestFit="1" customWidth="1"/>
    <col min="4" max="4" width="12.5703125" bestFit="1" customWidth="1"/>
    <col min="5" max="5" width="11.5703125" bestFit="1" customWidth="1"/>
    <col min="6" max="6" width="10.5703125" bestFit="1" customWidth="1"/>
    <col min="7" max="7" width="10.140625" customWidth="1"/>
    <col min="8" max="8" width="10.85546875" bestFit="1" customWidth="1"/>
    <col min="16" max="16" width="6.7109375" bestFit="1" customWidth="1"/>
    <col min="17" max="17" width="11" customWidth="1"/>
    <col min="18" max="18" width="10.7109375" bestFit="1" customWidth="1"/>
    <col min="21" max="21" width="11.28515625" customWidth="1"/>
    <col min="23" max="23" width="9.140625" hidden="1" customWidth="1"/>
    <col min="24" max="24" width="14" hidden="1" customWidth="1"/>
    <col min="25" max="25" width="9.140625" hidden="1" customWidth="1"/>
    <col min="28" max="28" width="10.140625" bestFit="1" customWidth="1"/>
    <col min="29" max="29" width="6.85546875" bestFit="1" customWidth="1"/>
    <col min="31" max="31" width="12.28515625" customWidth="1"/>
    <col min="32" max="32" width="15.140625" bestFit="1" customWidth="1"/>
  </cols>
  <sheetData>
    <row r="1" spans="1:33" ht="16.5" thickBot="1" x14ac:dyDescent="0.3">
      <c r="A1" s="1" t="s">
        <v>0</v>
      </c>
      <c r="B1" s="395" t="s">
        <v>260</v>
      </c>
      <c r="C1" s="395"/>
      <c r="D1" s="396"/>
      <c r="E1" s="397" t="s">
        <v>44</v>
      </c>
      <c r="F1" s="398"/>
      <c r="G1" s="398"/>
      <c r="H1" s="398"/>
      <c r="I1" s="399"/>
    </row>
    <row r="2" spans="1:33" ht="15.75" x14ac:dyDescent="0.25">
      <c r="A2" s="1" t="s">
        <v>1</v>
      </c>
      <c r="B2" s="395" t="s">
        <v>100</v>
      </c>
      <c r="C2" s="395"/>
      <c r="D2" s="396"/>
      <c r="E2" s="400" t="s">
        <v>265</v>
      </c>
      <c r="F2" s="401"/>
      <c r="G2" s="401"/>
      <c r="H2" s="401"/>
      <c r="I2" s="402"/>
    </row>
    <row r="3" spans="1:33" ht="15.75" x14ac:dyDescent="0.25">
      <c r="A3" s="2" t="s">
        <v>45</v>
      </c>
      <c r="B3" s="396"/>
      <c r="C3" s="403"/>
      <c r="D3" s="403"/>
      <c r="E3" s="390"/>
      <c r="F3" s="391"/>
      <c r="G3" s="391"/>
      <c r="H3" s="391"/>
      <c r="I3" s="392"/>
    </row>
    <row r="4" spans="1:33" ht="15.75" x14ac:dyDescent="0.25">
      <c r="A4" s="2" t="s">
        <v>2</v>
      </c>
      <c r="B4" s="388">
        <v>45665</v>
      </c>
      <c r="C4" s="388"/>
      <c r="D4" s="389"/>
      <c r="E4" s="390"/>
      <c r="F4" s="391"/>
      <c r="G4" s="391"/>
      <c r="H4" s="391"/>
      <c r="I4" s="392"/>
    </row>
    <row r="5" spans="1:33" ht="15.75" x14ac:dyDescent="0.25">
      <c r="A5" s="70" t="s">
        <v>46</v>
      </c>
      <c r="B5" s="393"/>
      <c r="C5" s="394"/>
      <c r="D5" s="394"/>
      <c r="E5" s="390"/>
      <c r="F5" s="391"/>
      <c r="G5" s="391"/>
      <c r="H5" s="391"/>
      <c r="I5" s="392"/>
    </row>
    <row r="6" spans="1:33" ht="15.75" x14ac:dyDescent="0.25">
      <c r="A6" s="70" t="s">
        <v>47</v>
      </c>
      <c r="B6" s="393" t="s">
        <v>101</v>
      </c>
      <c r="C6" s="394"/>
      <c r="D6" s="394"/>
      <c r="E6" s="390"/>
      <c r="F6" s="391"/>
      <c r="G6" s="391"/>
      <c r="H6" s="391"/>
      <c r="I6" s="392"/>
    </row>
    <row r="7" spans="1:33" ht="16.5" thickBot="1" x14ac:dyDescent="0.3">
      <c r="A7" s="71" t="s">
        <v>8</v>
      </c>
      <c r="B7" s="376">
        <v>8647</v>
      </c>
      <c r="C7" s="377"/>
      <c r="D7" s="377"/>
      <c r="E7" s="378"/>
      <c r="F7" s="379"/>
      <c r="G7" s="379"/>
      <c r="H7" s="379"/>
      <c r="I7" s="380"/>
    </row>
    <row r="8" spans="1:33" ht="15.75" thickBot="1" x14ac:dyDescent="0.3">
      <c r="A8" s="72" t="s">
        <v>48</v>
      </c>
      <c r="B8" s="381" t="s">
        <v>49</v>
      </c>
      <c r="C8" s="382"/>
      <c r="D8" s="382"/>
      <c r="E8" s="382"/>
      <c r="F8" s="383"/>
      <c r="G8" s="73"/>
      <c r="H8" s="73"/>
      <c r="I8" s="384" t="s">
        <v>50</v>
      </c>
      <c r="J8" s="385"/>
      <c r="K8" s="386" t="s">
        <v>51</v>
      </c>
      <c r="L8" s="387"/>
      <c r="M8" s="387"/>
      <c r="N8" s="367" t="s">
        <v>52</v>
      </c>
      <c r="O8" s="367"/>
      <c r="P8" s="367"/>
      <c r="Q8" s="368"/>
      <c r="R8" s="367"/>
      <c r="S8" s="369"/>
      <c r="T8" s="370" t="s">
        <v>124</v>
      </c>
      <c r="U8" s="367"/>
      <c r="V8" s="367"/>
      <c r="W8" s="370" t="s">
        <v>53</v>
      </c>
      <c r="X8" s="367"/>
      <c r="Y8" s="369"/>
      <c r="Z8" s="371" t="s">
        <v>54</v>
      </c>
      <c r="AA8" s="372"/>
      <c r="AB8" s="372"/>
      <c r="AC8" s="372"/>
      <c r="AD8" s="373"/>
      <c r="AE8" s="374" t="s">
        <v>55</v>
      </c>
      <c r="AF8" s="374"/>
      <c r="AG8" s="375"/>
    </row>
    <row r="9" spans="1:33" ht="45.75" thickBot="1" x14ac:dyDescent="0.3">
      <c r="A9" s="75" t="s">
        <v>56</v>
      </c>
      <c r="B9" s="76" t="s">
        <v>57</v>
      </c>
      <c r="C9" s="77" t="s">
        <v>58</v>
      </c>
      <c r="D9" s="78" t="s">
        <v>59</v>
      </c>
      <c r="E9" s="79" t="s">
        <v>60</v>
      </c>
      <c r="F9" s="79" t="s">
        <v>61</v>
      </c>
      <c r="G9" s="210" t="s">
        <v>107</v>
      </c>
      <c r="H9" s="80" t="s">
        <v>62</v>
      </c>
      <c r="I9" s="81" t="s">
        <v>63</v>
      </c>
      <c r="J9" s="82" t="s">
        <v>64</v>
      </c>
      <c r="K9" s="83" t="s">
        <v>65</v>
      </c>
      <c r="L9" s="84" t="s">
        <v>66</v>
      </c>
      <c r="M9" s="85" t="s">
        <v>67</v>
      </c>
      <c r="N9" s="317" t="s">
        <v>206</v>
      </c>
      <c r="O9" s="317" t="s">
        <v>207</v>
      </c>
      <c r="P9" s="86" t="s">
        <v>104</v>
      </c>
      <c r="Q9" s="207" t="s">
        <v>105</v>
      </c>
      <c r="R9" s="208" t="s">
        <v>106</v>
      </c>
      <c r="S9" s="216" t="s">
        <v>68</v>
      </c>
      <c r="T9" s="87" t="s">
        <v>69</v>
      </c>
      <c r="U9" s="87" t="s">
        <v>70</v>
      </c>
      <c r="V9" s="74" t="s">
        <v>71</v>
      </c>
      <c r="W9" s="87" t="s">
        <v>72</v>
      </c>
      <c r="X9" s="87" t="s">
        <v>73</v>
      </c>
      <c r="Y9" s="87" t="s">
        <v>74</v>
      </c>
      <c r="Z9" s="88" t="s">
        <v>75</v>
      </c>
      <c r="AA9" s="89" t="s">
        <v>76</v>
      </c>
      <c r="AB9" s="206" t="s">
        <v>103</v>
      </c>
      <c r="AC9" s="215" t="s">
        <v>121</v>
      </c>
      <c r="AD9" s="335" t="s">
        <v>77</v>
      </c>
      <c r="AE9" s="90" t="s">
        <v>69</v>
      </c>
      <c r="AF9" s="91" t="s">
        <v>70</v>
      </c>
      <c r="AG9" s="92" t="s">
        <v>55</v>
      </c>
    </row>
    <row r="10" spans="1:33" x14ac:dyDescent="0.25">
      <c r="A10" s="93" t="s">
        <v>258</v>
      </c>
      <c r="B10" s="94">
        <v>93</v>
      </c>
      <c r="C10" s="95">
        <v>2.5</v>
      </c>
      <c r="D10" s="96">
        <f t="shared" ref="D10:D19" si="0">B10*C10</f>
        <v>232.5</v>
      </c>
      <c r="E10" s="97"/>
      <c r="F10" s="340">
        <f t="shared" ref="F10:F19" si="1">C10*E10</f>
        <v>0</v>
      </c>
      <c r="G10" s="341" t="s">
        <v>108</v>
      </c>
      <c r="H10" s="98"/>
      <c r="I10" s="99">
        <f>B10</f>
        <v>93</v>
      </c>
      <c r="J10" s="100"/>
      <c r="K10" s="101"/>
      <c r="L10" s="102"/>
      <c r="M10" s="103">
        <f>K10*L10</f>
        <v>0</v>
      </c>
      <c r="N10" s="104"/>
      <c r="O10" s="318"/>
      <c r="P10" s="105">
        <v>93</v>
      </c>
      <c r="Q10" s="106"/>
      <c r="R10" s="105"/>
      <c r="S10" s="105"/>
      <c r="T10" s="107">
        <v>33</v>
      </c>
      <c r="U10" s="108">
        <v>2</v>
      </c>
      <c r="V10" s="109">
        <f t="shared" ref="V10:V19" si="2">T10*U10</f>
        <v>66</v>
      </c>
      <c r="W10" s="110"/>
      <c r="X10" s="110"/>
      <c r="Y10" s="111">
        <f>W10*X10</f>
        <v>0</v>
      </c>
      <c r="Z10" s="112"/>
      <c r="AA10" s="113"/>
      <c r="AB10" s="113"/>
      <c r="AC10" s="114">
        <v>2</v>
      </c>
      <c r="AD10" s="336"/>
      <c r="AE10" s="115"/>
      <c r="AF10" s="116"/>
      <c r="AG10" s="117">
        <f t="shared" ref="AG10:AG19" si="3">AE10*AF10</f>
        <v>0</v>
      </c>
    </row>
    <row r="11" spans="1:33" x14ac:dyDescent="0.25">
      <c r="A11" s="93" t="s">
        <v>259</v>
      </c>
      <c r="B11" s="279">
        <v>93</v>
      </c>
      <c r="C11" s="280">
        <v>6</v>
      </c>
      <c r="D11" s="281">
        <f>B11*C11-H11</f>
        <v>558</v>
      </c>
      <c r="E11" s="282"/>
      <c r="F11" s="285">
        <f t="shared" si="1"/>
        <v>0</v>
      </c>
      <c r="G11" s="286" t="s">
        <v>112</v>
      </c>
      <c r="H11" s="118"/>
      <c r="I11" s="99"/>
      <c r="J11" s="93"/>
      <c r="K11" s="119"/>
      <c r="L11" s="120"/>
      <c r="M11" s="121">
        <f t="shared" ref="M11:M19" si="4">K11*L11</f>
        <v>0</v>
      </c>
      <c r="N11" s="104"/>
      <c r="O11" s="318"/>
      <c r="P11" s="105"/>
      <c r="Q11" s="106"/>
      <c r="R11" s="105"/>
      <c r="S11" s="105"/>
      <c r="T11" s="122"/>
      <c r="U11" s="123"/>
      <c r="V11" s="105">
        <f t="shared" si="2"/>
        <v>0</v>
      </c>
      <c r="W11" s="123"/>
      <c r="X11" s="123"/>
      <c r="Y11" s="124">
        <f t="shared" ref="Y11:Y19" si="5">W11*X11</f>
        <v>0</v>
      </c>
      <c r="Z11" s="112"/>
      <c r="AA11" s="113"/>
      <c r="AB11" s="113"/>
      <c r="AC11" s="114"/>
      <c r="AD11" s="336"/>
      <c r="AE11" s="115"/>
      <c r="AF11" s="116"/>
      <c r="AG11" s="117">
        <f t="shared" si="3"/>
        <v>0</v>
      </c>
    </row>
    <row r="12" spans="1:33" x14ac:dyDescent="0.25">
      <c r="A12" s="93" t="s">
        <v>261</v>
      </c>
      <c r="B12" s="94">
        <v>0</v>
      </c>
      <c r="C12" s="95"/>
      <c r="D12" s="96">
        <f t="shared" si="0"/>
        <v>0</v>
      </c>
      <c r="E12" s="97"/>
      <c r="F12" s="211">
        <f t="shared" si="1"/>
        <v>0</v>
      </c>
      <c r="G12" s="341" t="s">
        <v>108</v>
      </c>
      <c r="H12" s="118">
        <v>50</v>
      </c>
      <c r="I12" s="99">
        <f t="shared" ref="I12:I19" si="6">B12</f>
        <v>0</v>
      </c>
      <c r="J12" s="93"/>
      <c r="K12" s="119"/>
      <c r="L12" s="120"/>
      <c r="M12" s="121">
        <f t="shared" si="4"/>
        <v>0</v>
      </c>
      <c r="N12" s="104"/>
      <c r="O12" s="318"/>
      <c r="P12" s="105"/>
      <c r="Q12" s="106"/>
      <c r="R12" s="105"/>
      <c r="S12" s="105"/>
      <c r="T12" s="122"/>
      <c r="U12" s="123"/>
      <c r="V12" s="105">
        <f t="shared" si="2"/>
        <v>0</v>
      </c>
      <c r="W12" s="123"/>
      <c r="X12" s="123"/>
      <c r="Y12" s="124"/>
      <c r="Z12" s="112"/>
      <c r="AA12" s="113"/>
      <c r="AB12" s="113"/>
      <c r="AC12" s="114"/>
      <c r="AD12" s="336"/>
      <c r="AE12" s="115"/>
      <c r="AF12" s="116"/>
      <c r="AG12" s="117"/>
    </row>
    <row r="13" spans="1:33" x14ac:dyDescent="0.25">
      <c r="A13" s="93" t="s">
        <v>262</v>
      </c>
      <c r="B13" s="94">
        <v>0</v>
      </c>
      <c r="C13" s="95"/>
      <c r="D13" s="96">
        <f>B13*C13-H13</f>
        <v>0</v>
      </c>
      <c r="E13" s="97"/>
      <c r="F13" s="211">
        <f t="shared" si="1"/>
        <v>0</v>
      </c>
      <c r="G13" s="341" t="s">
        <v>108</v>
      </c>
      <c r="H13" s="118"/>
      <c r="I13" s="99">
        <f t="shared" si="6"/>
        <v>0</v>
      </c>
      <c r="J13" s="93"/>
      <c r="K13" s="119"/>
      <c r="L13" s="120"/>
      <c r="M13" s="121">
        <f t="shared" si="4"/>
        <v>0</v>
      </c>
      <c r="N13" s="104"/>
      <c r="O13" s="318"/>
      <c r="P13" s="105"/>
      <c r="Q13" s="106"/>
      <c r="R13" s="105"/>
      <c r="S13" s="105"/>
      <c r="T13" s="122"/>
      <c r="U13" s="123"/>
      <c r="V13" s="105">
        <f t="shared" si="2"/>
        <v>0</v>
      </c>
      <c r="W13" s="123"/>
      <c r="X13" s="123"/>
      <c r="Y13" s="124">
        <f t="shared" si="5"/>
        <v>0</v>
      </c>
      <c r="Z13" s="112"/>
      <c r="AA13" s="113"/>
      <c r="AB13" s="113"/>
      <c r="AC13" s="114"/>
      <c r="AD13" s="336"/>
      <c r="AE13" s="115"/>
      <c r="AF13" s="116"/>
      <c r="AG13" s="117">
        <f t="shared" si="3"/>
        <v>0</v>
      </c>
    </row>
    <row r="14" spans="1:33" x14ac:dyDescent="0.25">
      <c r="A14" s="93"/>
      <c r="B14" s="94"/>
      <c r="C14" s="95"/>
      <c r="D14" s="96">
        <f t="shared" si="0"/>
        <v>0</v>
      </c>
      <c r="E14" s="97"/>
      <c r="F14" s="211">
        <f t="shared" si="1"/>
        <v>0</v>
      </c>
      <c r="G14" s="341" t="s">
        <v>108</v>
      </c>
      <c r="H14" s="118"/>
      <c r="I14" s="99">
        <f t="shared" si="6"/>
        <v>0</v>
      </c>
      <c r="J14" s="93"/>
      <c r="K14" s="119"/>
      <c r="L14" s="120"/>
      <c r="M14" s="121">
        <f t="shared" si="4"/>
        <v>0</v>
      </c>
      <c r="N14" s="104"/>
      <c r="O14" s="318"/>
      <c r="P14" s="105"/>
      <c r="Q14" s="106"/>
      <c r="R14" s="105"/>
      <c r="S14" s="105"/>
      <c r="T14" s="122"/>
      <c r="U14" s="123"/>
      <c r="V14" s="105">
        <f t="shared" si="2"/>
        <v>0</v>
      </c>
      <c r="W14" s="123"/>
      <c r="X14" s="123"/>
      <c r="Y14" s="124">
        <f t="shared" si="5"/>
        <v>0</v>
      </c>
      <c r="Z14" s="112"/>
      <c r="AA14" s="113"/>
      <c r="AB14" s="113"/>
      <c r="AC14" s="114"/>
      <c r="AD14" s="336"/>
      <c r="AE14" s="115"/>
      <c r="AF14" s="116"/>
      <c r="AG14" s="117">
        <f t="shared" si="3"/>
        <v>0</v>
      </c>
    </row>
    <row r="15" spans="1:33" x14ac:dyDescent="0.25">
      <c r="A15" s="93"/>
      <c r="B15" s="94"/>
      <c r="C15" s="95"/>
      <c r="D15" s="96">
        <f t="shared" si="0"/>
        <v>0</v>
      </c>
      <c r="E15" s="97"/>
      <c r="F15" s="211">
        <f t="shared" si="1"/>
        <v>0</v>
      </c>
      <c r="G15" s="341" t="s">
        <v>108</v>
      </c>
      <c r="H15" s="118"/>
      <c r="I15" s="99">
        <f t="shared" si="6"/>
        <v>0</v>
      </c>
      <c r="J15" s="93"/>
      <c r="K15" s="119"/>
      <c r="L15" s="120"/>
      <c r="M15" s="121">
        <f t="shared" si="4"/>
        <v>0</v>
      </c>
      <c r="N15" s="104"/>
      <c r="O15" s="318"/>
      <c r="P15" s="105"/>
      <c r="Q15" s="106"/>
      <c r="R15" s="105"/>
      <c r="S15" s="105"/>
      <c r="T15" s="122"/>
      <c r="U15" s="123"/>
      <c r="V15" s="105">
        <f t="shared" si="2"/>
        <v>0</v>
      </c>
      <c r="W15" s="123"/>
      <c r="X15" s="123"/>
      <c r="Y15" s="124">
        <f t="shared" si="5"/>
        <v>0</v>
      </c>
      <c r="Z15" s="112"/>
      <c r="AA15" s="113"/>
      <c r="AB15" s="113"/>
      <c r="AC15" s="114"/>
      <c r="AD15" s="336"/>
      <c r="AE15" s="115"/>
      <c r="AF15" s="116"/>
      <c r="AG15" s="117">
        <f t="shared" si="3"/>
        <v>0</v>
      </c>
    </row>
    <row r="16" spans="1:33" x14ac:dyDescent="0.25">
      <c r="A16" s="93"/>
      <c r="B16" s="94"/>
      <c r="C16" s="95"/>
      <c r="D16" s="96">
        <f t="shared" si="0"/>
        <v>0</v>
      </c>
      <c r="E16" s="97"/>
      <c r="F16" s="211">
        <f t="shared" si="1"/>
        <v>0</v>
      </c>
      <c r="G16" s="341" t="s">
        <v>108</v>
      </c>
      <c r="H16" s="118"/>
      <c r="I16" s="99">
        <f t="shared" si="6"/>
        <v>0</v>
      </c>
      <c r="J16" s="93"/>
      <c r="K16" s="119"/>
      <c r="L16" s="120"/>
      <c r="M16" s="121">
        <f t="shared" si="4"/>
        <v>0</v>
      </c>
      <c r="N16" s="104"/>
      <c r="O16" s="318"/>
      <c r="P16" s="105"/>
      <c r="Q16" s="106"/>
      <c r="R16" s="105"/>
      <c r="S16" s="105"/>
      <c r="T16" s="122"/>
      <c r="U16" s="123"/>
      <c r="V16" s="105">
        <f t="shared" si="2"/>
        <v>0</v>
      </c>
      <c r="W16" s="123"/>
      <c r="X16" s="123"/>
      <c r="Y16" s="124">
        <f t="shared" si="5"/>
        <v>0</v>
      </c>
      <c r="Z16" s="112"/>
      <c r="AA16" s="113"/>
      <c r="AB16" s="113"/>
      <c r="AC16" s="114"/>
      <c r="AD16" s="336"/>
      <c r="AE16" s="115"/>
      <c r="AF16" s="116"/>
      <c r="AG16" s="117">
        <f t="shared" si="3"/>
        <v>0</v>
      </c>
    </row>
    <row r="17" spans="1:33" ht="15.75" thickBot="1" x14ac:dyDescent="0.3">
      <c r="A17" s="93"/>
      <c r="B17" s="94"/>
      <c r="C17" s="95"/>
      <c r="D17" s="96">
        <f t="shared" ref="D17:D18" si="7">B17*C17</f>
        <v>0</v>
      </c>
      <c r="E17" s="97"/>
      <c r="F17" s="212">
        <f t="shared" si="1"/>
        <v>0</v>
      </c>
      <c r="G17" s="214"/>
      <c r="H17" s="125">
        <f t="shared" ref="H17:H18" si="8">SUM(F17)</f>
        <v>0</v>
      </c>
      <c r="I17" s="99">
        <f t="shared" si="6"/>
        <v>0</v>
      </c>
      <c r="J17" s="127"/>
      <c r="K17" s="128"/>
      <c r="L17" s="129"/>
      <c r="M17" s="130">
        <f t="shared" si="4"/>
        <v>0</v>
      </c>
      <c r="N17" s="104"/>
      <c r="O17" s="318"/>
      <c r="P17" s="105"/>
      <c r="Q17" s="105"/>
      <c r="R17" s="105"/>
      <c r="S17" s="105"/>
      <c r="T17" s="131"/>
      <c r="U17" s="132"/>
      <c r="V17" s="133">
        <f t="shared" si="2"/>
        <v>0</v>
      </c>
      <c r="W17" s="134"/>
      <c r="X17" s="134"/>
      <c r="Y17" s="135">
        <f t="shared" si="5"/>
        <v>0</v>
      </c>
      <c r="Z17" s="136"/>
      <c r="AA17" s="137"/>
      <c r="AB17" s="137"/>
      <c r="AC17" s="138"/>
      <c r="AD17" s="337"/>
      <c r="AE17" s="115"/>
      <c r="AF17" s="116"/>
      <c r="AG17" s="117">
        <f t="shared" si="3"/>
        <v>0</v>
      </c>
    </row>
    <row r="18" spans="1:33" ht="15.75" thickBot="1" x14ac:dyDescent="0.3">
      <c r="A18" s="93"/>
      <c r="B18" s="94"/>
      <c r="C18" s="95"/>
      <c r="D18" s="96">
        <f t="shared" si="7"/>
        <v>0</v>
      </c>
      <c r="E18" s="97"/>
      <c r="F18" s="212">
        <f t="shared" si="1"/>
        <v>0</v>
      </c>
      <c r="G18" s="214"/>
      <c r="H18" s="125">
        <f t="shared" si="8"/>
        <v>0</v>
      </c>
      <c r="I18" s="99">
        <f t="shared" si="6"/>
        <v>0</v>
      </c>
      <c r="J18" s="127"/>
      <c r="K18" s="128"/>
      <c r="L18" s="129"/>
      <c r="M18" s="130">
        <f t="shared" si="4"/>
        <v>0</v>
      </c>
      <c r="N18" s="104"/>
      <c r="O18" s="318"/>
      <c r="P18" s="105"/>
      <c r="Q18" s="105"/>
      <c r="R18" s="105"/>
      <c r="S18" s="105"/>
      <c r="T18" s="131"/>
      <c r="U18" s="132"/>
      <c r="V18" s="133">
        <f t="shared" si="2"/>
        <v>0</v>
      </c>
      <c r="W18" s="134"/>
      <c r="X18" s="134"/>
      <c r="Y18" s="135">
        <f t="shared" si="5"/>
        <v>0</v>
      </c>
      <c r="Z18" s="136"/>
      <c r="AA18" s="137"/>
      <c r="AB18" s="137"/>
      <c r="AC18" s="138"/>
      <c r="AD18" s="337"/>
      <c r="AE18" s="115"/>
      <c r="AF18" s="116"/>
      <c r="AG18" s="117">
        <f t="shared" si="3"/>
        <v>0</v>
      </c>
    </row>
    <row r="19" spans="1:33" ht="15.75" thickBot="1" x14ac:dyDescent="0.3">
      <c r="A19" s="93"/>
      <c r="B19" s="94"/>
      <c r="C19" s="95"/>
      <c r="D19" s="96">
        <f t="shared" si="0"/>
        <v>0</v>
      </c>
      <c r="E19" s="97"/>
      <c r="F19" s="212">
        <f t="shared" si="1"/>
        <v>0</v>
      </c>
      <c r="G19" s="214"/>
      <c r="H19" s="125">
        <f>SUM(F19)</f>
        <v>0</v>
      </c>
      <c r="I19" s="339">
        <f t="shared" si="6"/>
        <v>0</v>
      </c>
      <c r="J19" s="127"/>
      <c r="K19" s="128"/>
      <c r="L19" s="129"/>
      <c r="M19" s="130">
        <f t="shared" si="4"/>
        <v>0</v>
      </c>
      <c r="N19" s="104"/>
      <c r="O19" s="318"/>
      <c r="P19" s="105"/>
      <c r="Q19" s="105"/>
      <c r="R19" s="105"/>
      <c r="S19" s="105"/>
      <c r="T19" s="131"/>
      <c r="U19" s="132"/>
      <c r="V19" s="133">
        <f t="shared" si="2"/>
        <v>0</v>
      </c>
      <c r="W19" s="134"/>
      <c r="X19" s="134"/>
      <c r="Y19" s="135">
        <f t="shared" si="5"/>
        <v>0</v>
      </c>
      <c r="Z19" s="136"/>
      <c r="AA19" s="137"/>
      <c r="AB19" s="137"/>
      <c r="AC19" s="138"/>
      <c r="AD19" s="337"/>
      <c r="AE19" s="115"/>
      <c r="AF19" s="116"/>
      <c r="AG19" s="117">
        <f t="shared" si="3"/>
        <v>0</v>
      </c>
    </row>
    <row r="20" spans="1:33" ht="15.75" thickBot="1" x14ac:dyDescent="0.3">
      <c r="A20" s="139" t="s">
        <v>78</v>
      </c>
      <c r="B20" s="140"/>
      <c r="C20" s="141"/>
      <c r="D20" s="142">
        <f>SUM(D10:D19)</f>
        <v>790.5</v>
      </c>
      <c r="E20" s="143"/>
      <c r="F20" s="143">
        <f>SUM(F10:F19)</f>
        <v>0</v>
      </c>
      <c r="G20" s="209"/>
      <c r="H20" s="144"/>
      <c r="I20" s="146">
        <f>SUM(I10:I19)</f>
        <v>93</v>
      </c>
      <c r="J20" s="146">
        <f>SUM(J10:J19)</f>
        <v>0</v>
      </c>
      <c r="K20" s="359" t="s">
        <v>79</v>
      </c>
      <c r="L20" s="360"/>
      <c r="M20" s="147">
        <f t="shared" ref="M20:S20" si="9">SUM(M10:M19)</f>
        <v>0</v>
      </c>
      <c r="N20" s="148">
        <f t="shared" si="9"/>
        <v>0</v>
      </c>
      <c r="O20" s="148">
        <f t="shared" si="9"/>
        <v>0</v>
      </c>
      <c r="P20" s="149">
        <f t="shared" si="9"/>
        <v>93</v>
      </c>
      <c r="Q20" s="149">
        <f t="shared" si="9"/>
        <v>0</v>
      </c>
      <c r="R20" s="150">
        <f t="shared" si="9"/>
        <v>0</v>
      </c>
      <c r="S20" s="150">
        <f t="shared" si="9"/>
        <v>0</v>
      </c>
      <c r="T20" s="151"/>
      <c r="U20" s="149"/>
      <c r="V20" s="150">
        <f>SUM(V10:V19)</f>
        <v>66</v>
      </c>
      <c r="W20" s="151"/>
      <c r="X20" s="152"/>
      <c r="Y20" s="153">
        <f t="shared" ref="Y20:AD20" si="10">SUM(Y10:Y19)</f>
        <v>0</v>
      </c>
      <c r="Z20" s="154">
        <f t="shared" si="10"/>
        <v>0</v>
      </c>
      <c r="AA20" s="155">
        <f t="shared" si="10"/>
        <v>0</v>
      </c>
      <c r="AB20" s="155">
        <f t="shared" si="10"/>
        <v>0</v>
      </c>
      <c r="AC20" s="156">
        <f t="shared" si="10"/>
        <v>2</v>
      </c>
      <c r="AD20" s="338">
        <f t="shared" si="10"/>
        <v>0</v>
      </c>
      <c r="AE20" s="361" t="s">
        <v>80</v>
      </c>
      <c r="AF20" s="362"/>
      <c r="AG20" s="157">
        <f>SUM(AG10:AG19)</f>
        <v>0</v>
      </c>
    </row>
    <row r="21" spans="1:33" ht="16.5" thickBot="1" x14ac:dyDescent="0.3">
      <c r="A21" s="158" t="s">
        <v>81</v>
      </c>
      <c r="B21" s="158">
        <f>(B23+B25)/40</f>
        <v>19.762499999999999</v>
      </c>
      <c r="C21" s="159" t="s">
        <v>82</v>
      </c>
      <c r="D21" s="160">
        <f>D20-H20</f>
        <v>790.5</v>
      </c>
      <c r="E21" s="161"/>
      <c r="F21" s="161">
        <f>F20*1.15</f>
        <v>0</v>
      </c>
      <c r="G21" s="161"/>
      <c r="H21" s="162"/>
      <c r="I21" s="163"/>
      <c r="J21" s="164"/>
      <c r="K21" s="363" t="s">
        <v>83</v>
      </c>
      <c r="L21" s="364"/>
      <c r="M21" s="165">
        <f>M20*1.125</f>
        <v>0</v>
      </c>
      <c r="N21" s="166">
        <f>N20*1.1</f>
        <v>0</v>
      </c>
      <c r="O21" s="166"/>
      <c r="P21" s="167">
        <f t="shared" ref="P21:V21" si="11">P20*1.1</f>
        <v>102.30000000000001</v>
      </c>
      <c r="Q21" s="167">
        <f t="shared" si="11"/>
        <v>0</v>
      </c>
      <c r="R21" s="167">
        <f t="shared" si="11"/>
        <v>0</v>
      </c>
      <c r="S21" s="168">
        <f t="shared" si="11"/>
        <v>0</v>
      </c>
      <c r="T21" s="365"/>
      <c r="U21" s="366"/>
      <c r="V21" s="169">
        <f t="shared" si="11"/>
        <v>72.600000000000009</v>
      </c>
      <c r="W21" s="365"/>
      <c r="X21" s="366"/>
      <c r="Y21" s="169">
        <f>Y20*1.15</f>
        <v>0</v>
      </c>
      <c r="Z21" s="170">
        <f>Z20</f>
        <v>0</v>
      </c>
      <c r="AA21" s="170">
        <f t="shared" ref="AA21:AD21" si="12">AA20</f>
        <v>0</v>
      </c>
      <c r="AB21" s="170">
        <f t="shared" si="12"/>
        <v>0</v>
      </c>
      <c r="AC21" s="170">
        <f t="shared" si="12"/>
        <v>2</v>
      </c>
      <c r="AD21" s="170">
        <f t="shared" si="12"/>
        <v>0</v>
      </c>
      <c r="AE21" s="171" t="s">
        <v>84</v>
      </c>
      <c r="AF21" s="172"/>
      <c r="AG21" s="173">
        <v>0</v>
      </c>
    </row>
    <row r="22" spans="1:33" ht="15.75" thickBot="1" x14ac:dyDescent="0.3">
      <c r="A22" s="174" t="s">
        <v>85</v>
      </c>
      <c r="B22" s="175">
        <f>B21/15</f>
        <v>1.3174999999999999</v>
      </c>
      <c r="C22" s="349" t="s">
        <v>86</v>
      </c>
      <c r="D22" s="350"/>
      <c r="E22" s="176"/>
      <c r="F22" s="177"/>
      <c r="G22" s="177"/>
      <c r="H22" s="177"/>
      <c r="I22" s="177"/>
      <c r="J22" s="178"/>
      <c r="K22" s="351" t="s">
        <v>87</v>
      </c>
      <c r="L22" s="352"/>
      <c r="M22" s="179"/>
      <c r="N22" s="353" t="s">
        <v>88</v>
      </c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5"/>
      <c r="Z22" s="356" t="s">
        <v>89</v>
      </c>
      <c r="AA22" s="357"/>
      <c r="AB22" s="357"/>
      <c r="AC22" s="357"/>
      <c r="AD22" s="358"/>
      <c r="AE22" s="180" t="s">
        <v>90</v>
      </c>
      <c r="AF22" s="181"/>
      <c r="AG22" s="157">
        <v>0</v>
      </c>
    </row>
    <row r="23" spans="1:33" x14ac:dyDescent="0.25">
      <c r="A23" s="329" t="s">
        <v>193</v>
      </c>
      <c r="B23" s="330">
        <f>D21-B25-B26-B24</f>
        <v>790.5</v>
      </c>
      <c r="C23" s="183">
        <v>25</v>
      </c>
      <c r="D23" s="184">
        <f>B23*C23</f>
        <v>19762.5</v>
      </c>
    </row>
    <row r="24" spans="1:33" x14ac:dyDescent="0.25">
      <c r="A24" s="329" t="s">
        <v>192</v>
      </c>
      <c r="B24" s="330">
        <v>0</v>
      </c>
      <c r="C24" s="183">
        <v>23</v>
      </c>
      <c r="D24" s="184">
        <f>B24*C24</f>
        <v>0</v>
      </c>
    </row>
    <row r="25" spans="1:33" x14ac:dyDescent="0.25">
      <c r="A25" s="185" t="s">
        <v>190</v>
      </c>
      <c r="B25" s="182">
        <v>0</v>
      </c>
      <c r="C25" s="183">
        <v>35</v>
      </c>
      <c r="D25" s="184">
        <f t="shared" ref="D25:D28" si="13">B25*C25</f>
        <v>0</v>
      </c>
    </row>
    <row r="26" spans="1:33" x14ac:dyDescent="0.25">
      <c r="A26" s="185" t="s">
        <v>191</v>
      </c>
      <c r="B26" s="182">
        <v>0</v>
      </c>
      <c r="C26" s="183">
        <v>32</v>
      </c>
      <c r="D26" s="184">
        <f t="shared" si="13"/>
        <v>0</v>
      </c>
    </row>
    <row r="27" spans="1:33" x14ac:dyDescent="0.25">
      <c r="A27" s="186" t="s">
        <v>91</v>
      </c>
      <c r="B27" s="187">
        <f>SUM(N20:Y20)</f>
        <v>159</v>
      </c>
      <c r="C27" s="183">
        <v>25</v>
      </c>
      <c r="D27" s="184">
        <f t="shared" si="13"/>
        <v>3975</v>
      </c>
      <c r="E27">
        <f>B27+28</f>
        <v>187</v>
      </c>
    </row>
    <row r="28" spans="1:33" ht="15.75" thickBot="1" x14ac:dyDescent="0.3">
      <c r="A28" s="188" t="s">
        <v>92</v>
      </c>
      <c r="B28" s="189">
        <f>I20+J20</f>
        <v>93</v>
      </c>
      <c r="C28" s="190">
        <v>25</v>
      </c>
      <c r="D28" s="191">
        <f t="shared" si="13"/>
        <v>2325</v>
      </c>
      <c r="F28" t="s">
        <v>189</v>
      </c>
    </row>
    <row r="29" spans="1:33" ht="15.75" thickTop="1" x14ac:dyDescent="0.25">
      <c r="A29" s="192" t="s">
        <v>93</v>
      </c>
      <c r="B29" s="193">
        <f>B24+B26</f>
        <v>0</v>
      </c>
      <c r="C29" s="194" t="s">
        <v>94</v>
      </c>
      <c r="D29" s="195">
        <f>SUM(D23:D28)</f>
        <v>26062.5</v>
      </c>
    </row>
    <row r="30" spans="1:33" ht="15.75" thickBot="1" x14ac:dyDescent="0.3">
      <c r="A30" s="196" t="s">
        <v>95</v>
      </c>
      <c r="B30" s="197">
        <f>F20/3</f>
        <v>0</v>
      </c>
      <c r="C30" s="198" t="s">
        <v>96</v>
      </c>
      <c r="D30" s="199">
        <f>D29*1.1</f>
        <v>28668.750000000004</v>
      </c>
      <c r="F30" s="230" t="s">
        <v>221</v>
      </c>
      <c r="G30" s="230" t="s">
        <v>222</v>
      </c>
      <c r="H30" s="230" t="s">
        <v>223</v>
      </c>
      <c r="I30" s="230" t="s">
        <v>224</v>
      </c>
    </row>
    <row r="31" spans="1:33" x14ac:dyDescent="0.25">
      <c r="A31" s="196" t="s">
        <v>97</v>
      </c>
      <c r="B31" s="200">
        <f>B29-B30</f>
        <v>0</v>
      </c>
      <c r="F31" s="230" t="s">
        <v>220</v>
      </c>
      <c r="G31" s="254">
        <v>16</v>
      </c>
      <c r="H31" s="254">
        <f>16*0.25</f>
        <v>4</v>
      </c>
      <c r="I31" s="254">
        <f>SUM(G31:H31)</f>
        <v>20</v>
      </c>
    </row>
    <row r="32" spans="1:33" ht="15.75" thickBot="1" x14ac:dyDescent="0.3">
      <c r="A32" s="201" t="s">
        <v>194</v>
      </c>
      <c r="B32" s="202">
        <f>B31*1.1</f>
        <v>0</v>
      </c>
      <c r="F32" s="230" t="s">
        <v>218</v>
      </c>
      <c r="G32" s="254">
        <v>19.25</v>
      </c>
      <c r="H32" s="254">
        <f>16*0.67</f>
        <v>10.72</v>
      </c>
      <c r="I32" s="254">
        <f>SUM(G32:H32)</f>
        <v>29.97</v>
      </c>
    </row>
    <row r="33" spans="1:9" x14ac:dyDescent="0.25">
      <c r="A33" s="203" t="s">
        <v>98</v>
      </c>
      <c r="B33" s="204">
        <f>M21</f>
        <v>0</v>
      </c>
      <c r="F33" s="230" t="s">
        <v>217</v>
      </c>
      <c r="G33" s="254">
        <v>22</v>
      </c>
      <c r="H33" s="254">
        <f>16*0.83</f>
        <v>13.28</v>
      </c>
      <c r="I33" s="254">
        <f>SUM(G33:H33)</f>
        <v>35.28</v>
      </c>
    </row>
    <row r="34" spans="1:9" x14ac:dyDescent="0.25">
      <c r="F34" s="230" t="s">
        <v>219</v>
      </c>
      <c r="G34" s="254">
        <v>22.5</v>
      </c>
      <c r="H34" s="254">
        <v>16</v>
      </c>
      <c r="I34" s="254">
        <f>SUM(G34:H34)</f>
        <v>38.5</v>
      </c>
    </row>
    <row r="35" spans="1:9" ht="15.75" thickBot="1" x14ac:dyDescent="0.3"/>
    <row r="36" spans="1:9" ht="15.75" thickBot="1" x14ac:dyDescent="0.3">
      <c r="A36" s="289" t="s">
        <v>205</v>
      </c>
      <c r="B36" s="290"/>
      <c r="C36" s="291"/>
      <c r="D36" s="292"/>
    </row>
    <row r="37" spans="1:9" ht="15.75" thickBot="1" x14ac:dyDescent="0.3">
      <c r="A37" s="293" t="s">
        <v>209</v>
      </c>
      <c r="B37" s="294"/>
      <c r="C37" s="295">
        <f>I33</f>
        <v>35.28</v>
      </c>
      <c r="D37" s="296"/>
    </row>
    <row r="38" spans="1:9" x14ac:dyDescent="0.25">
      <c r="A38" s="293" t="s">
        <v>210</v>
      </c>
      <c r="B38" s="319">
        <v>0.3</v>
      </c>
      <c r="C38" s="229">
        <f>C37*B38</f>
        <v>10.584</v>
      </c>
      <c r="D38" s="298"/>
    </row>
    <row r="39" spans="1:9" x14ac:dyDescent="0.25">
      <c r="A39" s="293" t="s">
        <v>211</v>
      </c>
      <c r="B39" s="297"/>
      <c r="C39" s="232">
        <f>SUM(C37:C38)</f>
        <v>45.864000000000004</v>
      </c>
      <c r="D39" s="298"/>
    </row>
    <row r="40" spans="1:9" ht="15.75" thickBot="1" x14ac:dyDescent="0.3">
      <c r="A40" s="299" t="s">
        <v>212</v>
      </c>
      <c r="B40" s="250"/>
      <c r="C40" s="300">
        <f>C39*1.0725</f>
        <v>49.189140000000002</v>
      </c>
      <c r="D40" s="301"/>
    </row>
    <row r="41" spans="1:9" ht="15.75" thickTop="1" x14ac:dyDescent="0.25">
      <c r="A41" s="302" t="s">
        <v>195</v>
      </c>
      <c r="B41" s="227">
        <v>8</v>
      </c>
      <c r="C41" s="253">
        <v>130</v>
      </c>
      <c r="D41" s="303">
        <f>B41*C41</f>
        <v>1040</v>
      </c>
    </row>
    <row r="42" spans="1:9" x14ac:dyDescent="0.25">
      <c r="A42" s="302" t="s">
        <v>196</v>
      </c>
      <c r="B42" s="227">
        <v>0</v>
      </c>
      <c r="C42" s="253">
        <v>700</v>
      </c>
      <c r="D42" s="303">
        <f>B42*C42</f>
        <v>0</v>
      </c>
    </row>
    <row r="43" spans="1:9" x14ac:dyDescent="0.25">
      <c r="A43" s="304" t="s">
        <v>23</v>
      </c>
      <c r="B43" s="116">
        <v>8</v>
      </c>
      <c r="C43" s="254">
        <v>70</v>
      </c>
      <c r="D43" s="305">
        <f>B43*C43</f>
        <v>560</v>
      </c>
    </row>
    <row r="44" spans="1:9" x14ac:dyDescent="0.25">
      <c r="A44" s="304" t="s">
        <v>197</v>
      </c>
      <c r="B44" s="116">
        <v>0</v>
      </c>
      <c r="C44" s="254">
        <v>0</v>
      </c>
      <c r="D44" s="305">
        <f>B44*C44</f>
        <v>0</v>
      </c>
    </row>
    <row r="45" spans="1:9" ht="15.75" thickBot="1" x14ac:dyDescent="0.3">
      <c r="A45" s="320" t="s">
        <v>198</v>
      </c>
      <c r="B45" s="321">
        <v>0.5</v>
      </c>
      <c r="C45" s="252">
        <v>100</v>
      </c>
      <c r="D45" s="322">
        <f>B45*C45</f>
        <v>50</v>
      </c>
    </row>
    <row r="46" spans="1:9" ht="15.75" thickTop="1" x14ac:dyDescent="0.25">
      <c r="A46" s="323" t="s">
        <v>199</v>
      </c>
      <c r="B46" s="257"/>
      <c r="C46" s="257"/>
      <c r="D46" s="324">
        <f>SUM(D41:D45)</f>
        <v>1650</v>
      </c>
    </row>
    <row r="47" spans="1:9" ht="15.75" thickBot="1" x14ac:dyDescent="0.3">
      <c r="A47" s="306" t="s">
        <v>213</v>
      </c>
      <c r="B47" s="307"/>
      <c r="C47" s="250"/>
      <c r="D47" s="308">
        <f>D46/B48</f>
        <v>57.89473684210526</v>
      </c>
    </row>
    <row r="48" spans="1:9" ht="15.75" thickTop="1" x14ac:dyDescent="0.25">
      <c r="A48" s="323" t="s">
        <v>214</v>
      </c>
      <c r="B48" s="247">
        <f>B55*0.5</f>
        <v>28.5</v>
      </c>
      <c r="C48" s="37"/>
      <c r="D48" s="309"/>
    </row>
    <row r="49" spans="1:4" x14ac:dyDescent="0.25">
      <c r="A49" s="304" t="s">
        <v>215</v>
      </c>
      <c r="B49" s="232">
        <f>C40+D47</f>
        <v>107.08387684210527</v>
      </c>
      <c r="C49" s="230"/>
      <c r="D49" s="298"/>
    </row>
    <row r="50" spans="1:4" x14ac:dyDescent="0.25">
      <c r="A50" s="304" t="s">
        <v>28</v>
      </c>
      <c r="B50" s="232">
        <f>B49*B48</f>
        <v>3051.8904900000002</v>
      </c>
      <c r="C50" s="230"/>
      <c r="D50" s="298"/>
    </row>
    <row r="51" spans="1:4" x14ac:dyDescent="0.25">
      <c r="A51" s="304" t="s">
        <v>200</v>
      </c>
      <c r="B51" s="325">
        <v>0.3</v>
      </c>
      <c r="C51" s="230"/>
      <c r="D51" s="298"/>
    </row>
    <row r="52" spans="1:4" x14ac:dyDescent="0.25">
      <c r="A52" s="304" t="s">
        <v>96</v>
      </c>
      <c r="B52" s="232">
        <f>B50*B51</f>
        <v>915.56714700000009</v>
      </c>
      <c r="C52" s="230"/>
      <c r="D52" s="310"/>
    </row>
    <row r="53" spans="1:4" x14ac:dyDescent="0.25">
      <c r="A53" s="304" t="s">
        <v>201</v>
      </c>
      <c r="B53" s="311">
        <v>25</v>
      </c>
      <c r="C53" s="230"/>
      <c r="D53" s="310"/>
    </row>
    <row r="54" spans="1:4" x14ac:dyDescent="0.25">
      <c r="A54" s="312" t="s">
        <v>202</v>
      </c>
      <c r="B54" s="326">
        <f>B50+B52+B53</f>
        <v>3992.4576370000004</v>
      </c>
      <c r="C54" s="313" t="s">
        <v>216</v>
      </c>
      <c r="D54" s="327">
        <f>B54/B48</f>
        <v>140.086232877193</v>
      </c>
    </row>
    <row r="55" spans="1:4" ht="15.75" thickBot="1" x14ac:dyDescent="0.3">
      <c r="A55" s="314" t="s">
        <v>203</v>
      </c>
      <c r="B55" s="315">
        <v>57</v>
      </c>
      <c r="C55" s="316" t="s">
        <v>204</v>
      </c>
      <c r="D55" s="328">
        <f>B54/B55</f>
        <v>70.043116438596499</v>
      </c>
    </row>
    <row r="56" spans="1:4" ht="15.75" thickBot="1" x14ac:dyDescent="0.3"/>
    <row r="57" spans="1:4" ht="15.75" thickBot="1" x14ac:dyDescent="0.3">
      <c r="A57" s="289" t="s">
        <v>208</v>
      </c>
      <c r="B57" s="290"/>
      <c r="C57" s="291"/>
      <c r="D57" s="292"/>
    </row>
    <row r="58" spans="1:4" ht="15.75" thickBot="1" x14ac:dyDescent="0.3">
      <c r="A58" s="293" t="s">
        <v>209</v>
      </c>
      <c r="B58" s="294"/>
      <c r="C58" s="295">
        <f>I33</f>
        <v>35.28</v>
      </c>
      <c r="D58" s="296"/>
    </row>
    <row r="59" spans="1:4" x14ac:dyDescent="0.25">
      <c r="A59" s="293" t="s">
        <v>210</v>
      </c>
      <c r="B59" s="319">
        <v>0.3</v>
      </c>
      <c r="C59" s="229">
        <f>C58*B59</f>
        <v>10.584</v>
      </c>
      <c r="D59" s="298"/>
    </row>
    <row r="60" spans="1:4" x14ac:dyDescent="0.25">
      <c r="A60" s="293" t="s">
        <v>211</v>
      </c>
      <c r="B60" s="297"/>
      <c r="C60" s="232">
        <f>SUM(C58:C59)</f>
        <v>45.864000000000004</v>
      </c>
      <c r="D60" s="298"/>
    </row>
    <row r="61" spans="1:4" ht="15.75" thickBot="1" x14ac:dyDescent="0.3">
      <c r="A61" s="299" t="s">
        <v>212</v>
      </c>
      <c r="B61" s="250"/>
      <c r="C61" s="300">
        <f>C60*1.0725</f>
        <v>49.189140000000002</v>
      </c>
      <c r="D61" s="301"/>
    </row>
    <row r="62" spans="1:4" ht="15.75" thickTop="1" x14ac:dyDescent="0.25">
      <c r="A62" s="302" t="s">
        <v>195</v>
      </c>
      <c r="B62" s="227">
        <v>8</v>
      </c>
      <c r="C62" s="253">
        <v>130</v>
      </c>
      <c r="D62" s="303">
        <f>B62*C62</f>
        <v>1040</v>
      </c>
    </row>
    <row r="63" spans="1:4" x14ac:dyDescent="0.25">
      <c r="A63" s="302" t="s">
        <v>196</v>
      </c>
      <c r="B63" s="227">
        <v>0</v>
      </c>
      <c r="C63" s="253">
        <v>700</v>
      </c>
      <c r="D63" s="303">
        <f>B63*C63</f>
        <v>0</v>
      </c>
    </row>
    <row r="64" spans="1:4" x14ac:dyDescent="0.25">
      <c r="A64" s="304" t="s">
        <v>23</v>
      </c>
      <c r="B64" s="116">
        <v>8</v>
      </c>
      <c r="C64" s="254">
        <v>70</v>
      </c>
      <c r="D64" s="305">
        <f>B64*C64</f>
        <v>560</v>
      </c>
    </row>
    <row r="65" spans="1:4" x14ac:dyDescent="0.25">
      <c r="A65" s="304" t="s">
        <v>197</v>
      </c>
      <c r="B65" s="116">
        <v>0</v>
      </c>
      <c r="C65" s="254">
        <v>0</v>
      </c>
      <c r="D65" s="305">
        <f>B65*C65</f>
        <v>0</v>
      </c>
    </row>
    <row r="66" spans="1:4" ht="15.75" thickBot="1" x14ac:dyDescent="0.3">
      <c r="A66" s="320" t="s">
        <v>198</v>
      </c>
      <c r="B66" s="321">
        <v>0.5</v>
      </c>
      <c r="C66" s="252">
        <v>100</v>
      </c>
      <c r="D66" s="322">
        <f>B66*C66</f>
        <v>50</v>
      </c>
    </row>
    <row r="67" spans="1:4" ht="15.75" thickTop="1" x14ac:dyDescent="0.25">
      <c r="A67" s="323" t="s">
        <v>199</v>
      </c>
      <c r="B67" s="257"/>
      <c r="C67" s="257"/>
      <c r="D67" s="324">
        <f>SUM(D62:D66)</f>
        <v>1650</v>
      </c>
    </row>
    <row r="68" spans="1:4" ht="15.75" thickBot="1" x14ac:dyDescent="0.3">
      <c r="A68" s="306" t="s">
        <v>213</v>
      </c>
      <c r="B68" s="307"/>
      <c r="C68" s="250"/>
      <c r="D68" s="308">
        <f>D67/B69</f>
        <v>115.78947368421052</v>
      </c>
    </row>
    <row r="69" spans="1:4" ht="15.75" thickTop="1" x14ac:dyDescent="0.25">
      <c r="A69" s="323" t="s">
        <v>214</v>
      </c>
      <c r="B69" s="247">
        <f>B76*0.25</f>
        <v>14.25</v>
      </c>
      <c r="C69" s="37"/>
      <c r="D69" s="309"/>
    </row>
    <row r="70" spans="1:4" x14ac:dyDescent="0.25">
      <c r="A70" s="304" t="s">
        <v>215</v>
      </c>
      <c r="B70" s="232">
        <f>C61+D68</f>
        <v>164.97861368421053</v>
      </c>
      <c r="C70" s="230"/>
      <c r="D70" s="298"/>
    </row>
    <row r="71" spans="1:4" x14ac:dyDescent="0.25">
      <c r="A71" s="304" t="s">
        <v>28</v>
      </c>
      <c r="B71" s="232">
        <f>B70*B69</f>
        <v>2350.9452449999999</v>
      </c>
      <c r="C71" s="230"/>
      <c r="D71" s="298"/>
    </row>
    <row r="72" spans="1:4" x14ac:dyDescent="0.25">
      <c r="A72" s="304" t="s">
        <v>200</v>
      </c>
      <c r="B72" s="325">
        <v>0.3</v>
      </c>
      <c r="C72" s="230"/>
      <c r="D72" s="298"/>
    </row>
    <row r="73" spans="1:4" x14ac:dyDescent="0.25">
      <c r="A73" s="304" t="s">
        <v>96</v>
      </c>
      <c r="B73" s="232">
        <f>B71*B72</f>
        <v>705.28357349999999</v>
      </c>
      <c r="C73" s="230"/>
      <c r="D73" s="310"/>
    </row>
    <row r="74" spans="1:4" x14ac:dyDescent="0.25">
      <c r="A74" s="304" t="s">
        <v>201</v>
      </c>
      <c r="B74" s="311">
        <v>25</v>
      </c>
      <c r="C74" s="230"/>
      <c r="D74" s="310"/>
    </row>
    <row r="75" spans="1:4" x14ac:dyDescent="0.25">
      <c r="A75" s="312" t="s">
        <v>202</v>
      </c>
      <c r="B75" s="326">
        <f>B71+B73+B74</f>
        <v>3081.2288184999998</v>
      </c>
      <c r="C75" s="313" t="s">
        <v>216</v>
      </c>
      <c r="D75" s="327">
        <f>B75/B69</f>
        <v>216.22658375438596</v>
      </c>
    </row>
    <row r="76" spans="1:4" ht="15.75" thickBot="1" x14ac:dyDescent="0.3">
      <c r="A76" s="314" t="s">
        <v>203</v>
      </c>
      <c r="B76" s="315">
        <v>57</v>
      </c>
      <c r="C76" s="316" t="s">
        <v>204</v>
      </c>
      <c r="D76" s="328">
        <f>B75/B76</f>
        <v>54.056645938596489</v>
      </c>
    </row>
    <row r="77" spans="1:4" ht="15.75" thickBot="1" x14ac:dyDescent="0.3"/>
    <row r="78" spans="1:4" ht="15.75" thickBot="1" x14ac:dyDescent="0.3">
      <c r="A78" s="289" t="s">
        <v>225</v>
      </c>
      <c r="B78" s="290"/>
      <c r="C78" s="291"/>
      <c r="D78" s="292"/>
    </row>
    <row r="79" spans="1:4" ht="15.75" thickBot="1" x14ac:dyDescent="0.3">
      <c r="A79" s="293" t="s">
        <v>209</v>
      </c>
      <c r="B79" s="294"/>
      <c r="C79" s="295">
        <f>I32</f>
        <v>29.97</v>
      </c>
      <c r="D79" s="296"/>
    </row>
    <row r="80" spans="1:4" x14ac:dyDescent="0.25">
      <c r="A80" s="293" t="s">
        <v>210</v>
      </c>
      <c r="B80" s="319">
        <v>0.3</v>
      </c>
      <c r="C80" s="229">
        <f>C79*B80</f>
        <v>8.9909999999999997</v>
      </c>
      <c r="D80" s="298"/>
    </row>
    <row r="81" spans="1:4" x14ac:dyDescent="0.25">
      <c r="A81" s="293" t="s">
        <v>211</v>
      </c>
      <c r="B81" s="297"/>
      <c r="C81" s="232">
        <f>SUM(C79:C80)</f>
        <v>38.960999999999999</v>
      </c>
      <c r="D81" s="298"/>
    </row>
    <row r="82" spans="1:4" ht="15.75" thickBot="1" x14ac:dyDescent="0.3">
      <c r="A82" s="299" t="s">
        <v>212</v>
      </c>
      <c r="B82" s="250"/>
      <c r="C82" s="300">
        <f>C81*1.0725</f>
        <v>41.785672499999997</v>
      </c>
      <c r="D82" s="301"/>
    </row>
    <row r="83" spans="1:4" ht="15.75" thickTop="1" x14ac:dyDescent="0.25">
      <c r="A83" s="302" t="s">
        <v>195</v>
      </c>
      <c r="B83" s="227">
        <v>12</v>
      </c>
      <c r="C83" s="253">
        <v>130</v>
      </c>
      <c r="D83" s="303">
        <f>B83*C83</f>
        <v>1560</v>
      </c>
    </row>
    <row r="84" spans="1:4" x14ac:dyDescent="0.25">
      <c r="A84" s="302" t="s">
        <v>196</v>
      </c>
      <c r="B84" s="227">
        <v>10</v>
      </c>
      <c r="C84" s="253">
        <v>700</v>
      </c>
      <c r="D84" s="303">
        <f>B84*C84</f>
        <v>7000</v>
      </c>
    </row>
    <row r="85" spans="1:4" x14ac:dyDescent="0.25">
      <c r="A85" s="304" t="s">
        <v>23</v>
      </c>
      <c r="B85" s="116">
        <v>60</v>
      </c>
      <c r="C85" s="254">
        <v>70</v>
      </c>
      <c r="D85" s="305">
        <f>B85*C85</f>
        <v>4200</v>
      </c>
    </row>
    <row r="86" spans="1:4" x14ac:dyDescent="0.25">
      <c r="A86" s="304" t="s">
        <v>197</v>
      </c>
      <c r="B86" s="116">
        <v>0</v>
      </c>
      <c r="C86" s="254">
        <v>0</v>
      </c>
      <c r="D86" s="305">
        <f>B86*C86</f>
        <v>0</v>
      </c>
    </row>
    <row r="87" spans="1:4" ht="15.75" thickBot="1" x14ac:dyDescent="0.3">
      <c r="A87" s="320" t="s">
        <v>198</v>
      </c>
      <c r="B87" s="321">
        <v>2</v>
      </c>
      <c r="C87" s="252">
        <v>100</v>
      </c>
      <c r="D87" s="322">
        <f>B87*C87</f>
        <v>200</v>
      </c>
    </row>
    <row r="88" spans="1:4" ht="15.75" thickTop="1" x14ac:dyDescent="0.25">
      <c r="A88" s="323" t="s">
        <v>199</v>
      </c>
      <c r="B88" s="257"/>
      <c r="C88" s="257"/>
      <c r="D88" s="324">
        <f>SUM(D83:D87)</f>
        <v>12960</v>
      </c>
    </row>
    <row r="89" spans="1:4" ht="15.75" thickBot="1" x14ac:dyDescent="0.3">
      <c r="A89" s="306" t="s">
        <v>213</v>
      </c>
      <c r="B89" s="307"/>
      <c r="C89" s="250"/>
      <c r="D89" s="308" t="e">
        <f>D88/B90</f>
        <v>#DIV/0!</v>
      </c>
    </row>
    <row r="90" spans="1:4" ht="15.75" thickTop="1" x14ac:dyDescent="0.25">
      <c r="A90" s="323" t="s">
        <v>214</v>
      </c>
      <c r="B90" s="247">
        <f>B97*0.5</f>
        <v>0</v>
      </c>
      <c r="C90" s="37"/>
      <c r="D90" s="309"/>
    </row>
    <row r="91" spans="1:4" x14ac:dyDescent="0.25">
      <c r="A91" s="304" t="s">
        <v>215</v>
      </c>
      <c r="B91" s="232" t="e">
        <f>C82+D89</f>
        <v>#DIV/0!</v>
      </c>
      <c r="C91" s="230"/>
      <c r="D91" s="298"/>
    </row>
    <row r="92" spans="1:4" x14ac:dyDescent="0.25">
      <c r="A92" s="304" t="s">
        <v>28</v>
      </c>
      <c r="B92" s="232" t="e">
        <f>B91*B90</f>
        <v>#DIV/0!</v>
      </c>
      <c r="C92" s="230"/>
      <c r="D92" s="298"/>
    </row>
    <row r="93" spans="1:4" x14ac:dyDescent="0.25">
      <c r="A93" s="304" t="s">
        <v>200</v>
      </c>
      <c r="B93" s="325">
        <v>0.3</v>
      </c>
      <c r="C93" s="230"/>
      <c r="D93" s="298"/>
    </row>
    <row r="94" spans="1:4" x14ac:dyDescent="0.25">
      <c r="A94" s="304" t="s">
        <v>96</v>
      </c>
      <c r="B94" s="232" t="e">
        <f>B92*B93</f>
        <v>#DIV/0!</v>
      </c>
      <c r="C94" s="230"/>
      <c r="D94" s="310"/>
    </row>
    <row r="95" spans="1:4" x14ac:dyDescent="0.25">
      <c r="A95" s="304" t="s">
        <v>201</v>
      </c>
      <c r="B95" s="311">
        <v>100</v>
      </c>
      <c r="C95" s="230"/>
      <c r="D95" s="310"/>
    </row>
    <row r="96" spans="1:4" x14ac:dyDescent="0.25">
      <c r="A96" s="312" t="s">
        <v>202</v>
      </c>
      <c r="B96" s="326" t="e">
        <f>B92+B94+B95</f>
        <v>#DIV/0!</v>
      </c>
      <c r="C96" s="313" t="s">
        <v>216</v>
      </c>
      <c r="D96" s="327" t="e">
        <f>B96/B90</f>
        <v>#DIV/0!</v>
      </c>
    </row>
    <row r="97" spans="1:4" ht="15.75" thickBot="1" x14ac:dyDescent="0.3">
      <c r="A97" s="314" t="s">
        <v>203</v>
      </c>
      <c r="B97" s="315">
        <f>Q21</f>
        <v>0</v>
      </c>
      <c r="C97" s="316" t="s">
        <v>204</v>
      </c>
      <c r="D97" s="328" t="e">
        <f>B96/B97</f>
        <v>#DIV/0!</v>
      </c>
    </row>
    <row r="98" spans="1:4" ht="15.75" thickBot="1" x14ac:dyDescent="0.3"/>
    <row r="99" spans="1:4" ht="15.75" thickBot="1" x14ac:dyDescent="0.3">
      <c r="A99" s="289" t="s">
        <v>104</v>
      </c>
      <c r="B99" s="290"/>
      <c r="C99" s="291"/>
      <c r="D99" s="292"/>
    </row>
    <row r="100" spans="1:4" ht="15.75" thickBot="1" x14ac:dyDescent="0.3">
      <c r="A100" s="293" t="s">
        <v>209</v>
      </c>
      <c r="B100" s="294"/>
      <c r="C100" s="295">
        <f>I31</f>
        <v>20</v>
      </c>
      <c r="D100" s="296"/>
    </row>
    <row r="101" spans="1:4" x14ac:dyDescent="0.25">
      <c r="A101" s="293" t="s">
        <v>210</v>
      </c>
      <c r="B101" s="319">
        <v>0.2</v>
      </c>
      <c r="C101" s="229">
        <f>C100*B101</f>
        <v>4</v>
      </c>
      <c r="D101" s="298"/>
    </row>
    <row r="102" spans="1:4" x14ac:dyDescent="0.25">
      <c r="A102" s="293" t="s">
        <v>211</v>
      </c>
      <c r="B102" s="297"/>
      <c r="C102" s="232">
        <f>SUM(C100:C101)</f>
        <v>24</v>
      </c>
      <c r="D102" s="298"/>
    </row>
    <row r="103" spans="1:4" ht="15.75" thickBot="1" x14ac:dyDescent="0.3">
      <c r="A103" s="299" t="s">
        <v>212</v>
      </c>
      <c r="B103" s="250"/>
      <c r="C103" s="300">
        <f>C102*1.0725</f>
        <v>25.740000000000002</v>
      </c>
      <c r="D103" s="301"/>
    </row>
    <row r="104" spans="1:4" ht="15.75" thickTop="1" x14ac:dyDescent="0.25">
      <c r="A104" s="302" t="s">
        <v>195</v>
      </c>
      <c r="B104" s="227">
        <v>2</v>
      </c>
      <c r="C104" s="253">
        <v>130</v>
      </c>
      <c r="D104" s="303">
        <f>B104*C104</f>
        <v>260</v>
      </c>
    </row>
    <row r="105" spans="1:4" x14ac:dyDescent="0.25">
      <c r="A105" s="302" t="s">
        <v>196</v>
      </c>
      <c r="B105" s="227">
        <v>0</v>
      </c>
      <c r="C105" s="253">
        <v>700</v>
      </c>
      <c r="D105" s="303">
        <f>B105*C105</f>
        <v>0</v>
      </c>
    </row>
    <row r="106" spans="1:4" x14ac:dyDescent="0.25">
      <c r="A106" s="304" t="s">
        <v>23</v>
      </c>
      <c r="B106" s="116">
        <v>3</v>
      </c>
      <c r="C106" s="254">
        <v>70</v>
      </c>
      <c r="D106" s="305">
        <f>B106*C106</f>
        <v>210</v>
      </c>
    </row>
    <row r="107" spans="1:4" x14ac:dyDescent="0.25">
      <c r="A107" s="304" t="s">
        <v>197</v>
      </c>
      <c r="B107" s="116">
        <v>0</v>
      </c>
      <c r="C107" s="254">
        <v>0</v>
      </c>
      <c r="D107" s="305">
        <f>B107*C107</f>
        <v>0</v>
      </c>
    </row>
    <row r="108" spans="1:4" ht="15.75" thickBot="1" x14ac:dyDescent="0.3">
      <c r="A108" s="320" t="s">
        <v>198</v>
      </c>
      <c r="B108" s="321">
        <v>0</v>
      </c>
      <c r="C108" s="252">
        <v>100</v>
      </c>
      <c r="D108" s="322">
        <f>B108*C108</f>
        <v>0</v>
      </c>
    </row>
    <row r="109" spans="1:4" ht="15.75" thickTop="1" x14ac:dyDescent="0.25">
      <c r="A109" s="323" t="s">
        <v>199</v>
      </c>
      <c r="B109" s="257"/>
      <c r="C109" s="257"/>
      <c r="D109" s="324">
        <f>SUM(D104:D108)</f>
        <v>470</v>
      </c>
    </row>
    <row r="110" spans="1:4" ht="15.75" thickBot="1" x14ac:dyDescent="0.3">
      <c r="A110" s="306" t="s">
        <v>213</v>
      </c>
      <c r="B110" s="307"/>
      <c r="C110" s="250"/>
      <c r="D110" s="308">
        <f>D109/B111</f>
        <v>23.5</v>
      </c>
    </row>
    <row r="111" spans="1:4" ht="15.75" thickTop="1" x14ac:dyDescent="0.25">
      <c r="A111" s="323" t="s">
        <v>214</v>
      </c>
      <c r="B111" s="247">
        <f>B118*0.5</f>
        <v>20</v>
      </c>
      <c r="C111" s="37"/>
      <c r="D111" s="309"/>
    </row>
    <row r="112" spans="1:4" x14ac:dyDescent="0.25">
      <c r="A112" s="304" t="s">
        <v>215</v>
      </c>
      <c r="B112" s="232">
        <f>C103+D110</f>
        <v>49.24</v>
      </c>
      <c r="C112" s="230"/>
      <c r="D112" s="298"/>
    </row>
    <row r="113" spans="1:4" x14ac:dyDescent="0.25">
      <c r="A113" s="304" t="s">
        <v>28</v>
      </c>
      <c r="B113" s="232">
        <f>B112*B111</f>
        <v>984.80000000000007</v>
      </c>
      <c r="C113" s="230"/>
      <c r="D113" s="298"/>
    </row>
    <row r="114" spans="1:4" x14ac:dyDescent="0.25">
      <c r="A114" s="304" t="s">
        <v>200</v>
      </c>
      <c r="B114" s="325">
        <v>0.3</v>
      </c>
      <c r="C114" s="230"/>
      <c r="D114" s="298"/>
    </row>
    <row r="115" spans="1:4" x14ac:dyDescent="0.25">
      <c r="A115" s="304" t="s">
        <v>96</v>
      </c>
      <c r="B115" s="232">
        <f>B113*B114</f>
        <v>295.44</v>
      </c>
      <c r="C115" s="230"/>
      <c r="D115" s="310"/>
    </row>
    <row r="116" spans="1:4" x14ac:dyDescent="0.25">
      <c r="A116" s="304" t="s">
        <v>201</v>
      </c>
      <c r="B116" s="311">
        <v>10</v>
      </c>
      <c r="C116" s="230"/>
      <c r="D116" s="310"/>
    </row>
    <row r="117" spans="1:4" x14ac:dyDescent="0.25">
      <c r="A117" s="312" t="s">
        <v>202</v>
      </c>
      <c r="B117" s="326">
        <f>B113+B115+B116</f>
        <v>1290.24</v>
      </c>
      <c r="C117" s="313" t="s">
        <v>216</v>
      </c>
      <c r="D117" s="327">
        <f>B117/B111</f>
        <v>64.512</v>
      </c>
    </row>
    <row r="118" spans="1:4" ht="15.75" thickBot="1" x14ac:dyDescent="0.3">
      <c r="A118" s="314" t="s">
        <v>203</v>
      </c>
      <c r="B118" s="315">
        <v>40</v>
      </c>
      <c r="C118" s="316" t="s">
        <v>204</v>
      </c>
      <c r="D118" s="328">
        <f>B117/B118</f>
        <v>32.256</v>
      </c>
    </row>
    <row r="119" spans="1:4" ht="15.75" thickBot="1" x14ac:dyDescent="0.3"/>
    <row r="120" spans="1:4" ht="15.75" thickBot="1" x14ac:dyDescent="0.3">
      <c r="A120" s="289" t="s">
        <v>230</v>
      </c>
      <c r="B120" s="290"/>
      <c r="C120" s="291"/>
      <c r="D120" s="292"/>
    </row>
    <row r="121" spans="1:4" ht="15.75" thickBot="1" x14ac:dyDescent="0.3">
      <c r="A121" s="293" t="s">
        <v>209</v>
      </c>
      <c r="B121" s="294"/>
      <c r="C121" s="295">
        <v>22</v>
      </c>
      <c r="D121" s="296"/>
    </row>
    <row r="122" spans="1:4" x14ac:dyDescent="0.25">
      <c r="A122" s="293" t="s">
        <v>210</v>
      </c>
      <c r="B122" s="319">
        <v>0.2</v>
      </c>
      <c r="C122" s="229">
        <f>C121*B122</f>
        <v>4.4000000000000004</v>
      </c>
      <c r="D122" s="298"/>
    </row>
    <row r="123" spans="1:4" x14ac:dyDescent="0.25">
      <c r="A123" s="293" t="s">
        <v>211</v>
      </c>
      <c r="B123" s="297"/>
      <c r="C123" s="232">
        <f>SUM(C121:C122)</f>
        <v>26.4</v>
      </c>
      <c r="D123" s="298"/>
    </row>
    <row r="124" spans="1:4" ht="15.75" thickBot="1" x14ac:dyDescent="0.3">
      <c r="A124" s="299" t="s">
        <v>212</v>
      </c>
      <c r="B124" s="250"/>
      <c r="C124" s="300">
        <f>C123*1.0725</f>
        <v>28.314</v>
      </c>
      <c r="D124" s="301"/>
    </row>
    <row r="125" spans="1:4" ht="15.75" thickTop="1" x14ac:dyDescent="0.25">
      <c r="A125" s="302" t="s">
        <v>195</v>
      </c>
      <c r="B125" s="227">
        <v>6</v>
      </c>
      <c r="C125" s="253">
        <v>130</v>
      </c>
      <c r="D125" s="303">
        <f>B125*C125</f>
        <v>780</v>
      </c>
    </row>
    <row r="126" spans="1:4" x14ac:dyDescent="0.25">
      <c r="A126" s="302" t="s">
        <v>196</v>
      </c>
      <c r="B126" s="227">
        <v>0</v>
      </c>
      <c r="C126" s="253">
        <v>700</v>
      </c>
      <c r="D126" s="303">
        <f>B126*C126</f>
        <v>0</v>
      </c>
    </row>
    <row r="127" spans="1:4" x14ac:dyDescent="0.25">
      <c r="A127" s="304" t="s">
        <v>23</v>
      </c>
      <c r="B127" s="116">
        <v>6</v>
      </c>
      <c r="C127" s="254">
        <v>70</v>
      </c>
      <c r="D127" s="305">
        <f>B127*C127</f>
        <v>420</v>
      </c>
    </row>
    <row r="128" spans="1:4" x14ac:dyDescent="0.25">
      <c r="A128" s="304" t="s">
        <v>197</v>
      </c>
      <c r="B128" s="116">
        <v>0</v>
      </c>
      <c r="C128" s="254">
        <v>0</v>
      </c>
      <c r="D128" s="305">
        <f>B128*C128</f>
        <v>0</v>
      </c>
    </row>
    <row r="129" spans="1:6" ht="15.75" thickBot="1" x14ac:dyDescent="0.3">
      <c r="A129" s="320" t="s">
        <v>198</v>
      </c>
      <c r="B129" s="321">
        <v>2</v>
      </c>
      <c r="C129" s="252">
        <v>100</v>
      </c>
      <c r="D129" s="322">
        <f>B129*C129</f>
        <v>200</v>
      </c>
    </row>
    <row r="130" spans="1:6" ht="15.75" thickTop="1" x14ac:dyDescent="0.25">
      <c r="A130" s="323" t="s">
        <v>199</v>
      </c>
      <c r="B130" s="257"/>
      <c r="C130" s="257"/>
      <c r="D130" s="324">
        <f>SUM(D125:D129)</f>
        <v>1400</v>
      </c>
    </row>
    <row r="131" spans="1:6" ht="15.75" thickBot="1" x14ac:dyDescent="0.3">
      <c r="A131" s="306" t="s">
        <v>213</v>
      </c>
      <c r="B131" s="307"/>
      <c r="C131" s="250"/>
      <c r="D131" s="308">
        <f>D130/B132</f>
        <v>12.903225806451612</v>
      </c>
    </row>
    <row r="132" spans="1:6" ht="15.75" thickTop="1" x14ac:dyDescent="0.25">
      <c r="A132" s="323" t="s">
        <v>214</v>
      </c>
      <c r="B132" s="247">
        <v>108.5</v>
      </c>
      <c r="C132" s="37"/>
      <c r="D132" s="309"/>
    </row>
    <row r="133" spans="1:6" x14ac:dyDescent="0.25">
      <c r="A133" s="304" t="s">
        <v>215</v>
      </c>
      <c r="B133" s="232">
        <f>C124+D131</f>
        <v>41.217225806451609</v>
      </c>
      <c r="C133" s="230"/>
      <c r="D133" s="298"/>
    </row>
    <row r="134" spans="1:6" x14ac:dyDescent="0.25">
      <c r="A134" s="304" t="s">
        <v>28</v>
      </c>
      <c r="B134" s="232">
        <f>B133*B132</f>
        <v>4472.0689999999995</v>
      </c>
      <c r="C134" s="230"/>
      <c r="D134" s="298"/>
    </row>
    <row r="135" spans="1:6" x14ac:dyDescent="0.25">
      <c r="A135" s="304" t="s">
        <v>200</v>
      </c>
      <c r="B135" s="325">
        <v>0.3</v>
      </c>
      <c r="C135" s="230"/>
      <c r="D135" s="298"/>
    </row>
    <row r="136" spans="1:6" x14ac:dyDescent="0.25">
      <c r="A136" s="304" t="s">
        <v>96</v>
      </c>
      <c r="B136" s="232">
        <f>B134*B135</f>
        <v>1341.6206999999997</v>
      </c>
      <c r="C136" s="230"/>
      <c r="D136" s="310"/>
    </row>
    <row r="137" spans="1:6" x14ac:dyDescent="0.25">
      <c r="A137" s="304" t="s">
        <v>201</v>
      </c>
      <c r="B137" s="311">
        <v>50</v>
      </c>
      <c r="C137" s="230"/>
      <c r="D137" s="310"/>
    </row>
    <row r="138" spans="1:6" x14ac:dyDescent="0.25">
      <c r="A138" s="312" t="s">
        <v>202</v>
      </c>
      <c r="B138" s="326">
        <f>B134+B136+B137</f>
        <v>5863.689699999999</v>
      </c>
      <c r="C138" s="313" t="s">
        <v>216</v>
      </c>
      <c r="D138" s="327">
        <f>B138/B132</f>
        <v>54.043223041474647</v>
      </c>
      <c r="E138">
        <v>25</v>
      </c>
      <c r="F138" s="205">
        <f>D138*E138</f>
        <v>1351.0805760368662</v>
      </c>
    </row>
    <row r="139" spans="1:6" ht="15.75" thickBot="1" x14ac:dyDescent="0.3">
      <c r="A139" s="314" t="s">
        <v>203</v>
      </c>
      <c r="B139" s="315">
        <f>AG20</f>
        <v>0</v>
      </c>
      <c r="C139" s="316" t="s">
        <v>204</v>
      </c>
      <c r="D139" s="328" t="e">
        <f>B138/B139</f>
        <v>#DIV/0!</v>
      </c>
      <c r="E139">
        <v>40</v>
      </c>
      <c r="F139" s="205">
        <f>D138*E139</f>
        <v>2161.7289216589861</v>
      </c>
    </row>
    <row r="140" spans="1:6" ht="15.75" thickBot="1" x14ac:dyDescent="0.3">
      <c r="A140" s="331"/>
      <c r="B140" s="332"/>
      <c r="C140" s="333"/>
      <c r="D140" s="334"/>
    </row>
    <row r="141" spans="1:6" ht="15.75" thickBot="1" x14ac:dyDescent="0.3">
      <c r="A141" s="289" t="s">
        <v>103</v>
      </c>
      <c r="B141" s="290"/>
      <c r="C141" s="291"/>
      <c r="D141" s="292"/>
    </row>
    <row r="142" spans="1:6" ht="15.75" thickBot="1" x14ac:dyDescent="0.3">
      <c r="A142" s="293" t="s">
        <v>209</v>
      </c>
      <c r="B142" s="294"/>
      <c r="C142" s="295">
        <f>I32</f>
        <v>29.97</v>
      </c>
      <c r="D142" s="296"/>
    </row>
    <row r="143" spans="1:6" x14ac:dyDescent="0.25">
      <c r="A143" s="293" t="s">
        <v>210</v>
      </c>
      <c r="B143" s="319">
        <v>0.3</v>
      </c>
      <c r="C143" s="229">
        <f>C142*B143</f>
        <v>8.9909999999999997</v>
      </c>
      <c r="D143" s="298"/>
    </row>
    <row r="144" spans="1:6" x14ac:dyDescent="0.25">
      <c r="A144" s="293" t="s">
        <v>211</v>
      </c>
      <c r="B144" s="297"/>
      <c r="C144" s="232">
        <f>SUM(C142:C143)</f>
        <v>38.960999999999999</v>
      </c>
      <c r="D144" s="298"/>
    </row>
    <row r="145" spans="1:4" ht="15.75" thickBot="1" x14ac:dyDescent="0.3">
      <c r="A145" s="299" t="s">
        <v>212</v>
      </c>
      <c r="B145" s="250"/>
      <c r="C145" s="300">
        <f>C144*1.0725</f>
        <v>41.785672499999997</v>
      </c>
      <c r="D145" s="301"/>
    </row>
    <row r="146" spans="1:4" ht="15.75" thickTop="1" x14ac:dyDescent="0.25">
      <c r="A146" s="302" t="s">
        <v>195</v>
      </c>
      <c r="B146" s="227">
        <v>12</v>
      </c>
      <c r="C146" s="253">
        <v>130</v>
      </c>
      <c r="D146" s="303">
        <f>B146*C146</f>
        <v>1560</v>
      </c>
    </row>
    <row r="147" spans="1:4" x14ac:dyDescent="0.25">
      <c r="A147" s="302" t="s">
        <v>196</v>
      </c>
      <c r="B147" s="227">
        <v>1</v>
      </c>
      <c r="C147" s="253">
        <v>700</v>
      </c>
      <c r="D147" s="303">
        <f>B147*C147</f>
        <v>700</v>
      </c>
    </row>
    <row r="148" spans="1:4" x14ac:dyDescent="0.25">
      <c r="A148" s="304" t="s">
        <v>23</v>
      </c>
      <c r="B148" s="116">
        <v>8</v>
      </c>
      <c r="C148" s="254">
        <v>70</v>
      </c>
      <c r="D148" s="305">
        <f>B148*C148</f>
        <v>560</v>
      </c>
    </row>
    <row r="149" spans="1:4" x14ac:dyDescent="0.25">
      <c r="A149" s="304" t="s">
        <v>197</v>
      </c>
      <c r="B149" s="116">
        <v>0</v>
      </c>
      <c r="C149" s="254">
        <v>0</v>
      </c>
      <c r="D149" s="305">
        <f>B149*C149</f>
        <v>0</v>
      </c>
    </row>
    <row r="150" spans="1:4" ht="15.75" thickBot="1" x14ac:dyDescent="0.3">
      <c r="A150" s="320" t="s">
        <v>198</v>
      </c>
      <c r="B150" s="321">
        <v>2</v>
      </c>
      <c r="C150" s="252">
        <v>100</v>
      </c>
      <c r="D150" s="322">
        <f>B150*C150</f>
        <v>200</v>
      </c>
    </row>
    <row r="151" spans="1:4" ht="15.75" thickTop="1" x14ac:dyDescent="0.25">
      <c r="A151" s="323" t="s">
        <v>199</v>
      </c>
      <c r="B151" s="257"/>
      <c r="C151" s="257"/>
      <c r="D151" s="324">
        <f>SUM(D146:D150)</f>
        <v>3020</v>
      </c>
    </row>
    <row r="152" spans="1:4" ht="15.75" thickBot="1" x14ac:dyDescent="0.3">
      <c r="A152" s="306" t="s">
        <v>213</v>
      </c>
      <c r="B152" s="307"/>
      <c r="C152" s="250"/>
      <c r="D152" s="308">
        <f>D151/B153</f>
        <v>251.66666666666666</v>
      </c>
    </row>
    <row r="153" spans="1:4" ht="15.75" thickTop="1" x14ac:dyDescent="0.25">
      <c r="A153" s="323" t="s">
        <v>214</v>
      </c>
      <c r="B153" s="247">
        <v>12</v>
      </c>
      <c r="C153" s="37"/>
      <c r="D153" s="309"/>
    </row>
    <row r="154" spans="1:4" x14ac:dyDescent="0.25">
      <c r="A154" s="304" t="s">
        <v>215</v>
      </c>
      <c r="B154" s="232">
        <f>C145+D152</f>
        <v>293.45233916666666</v>
      </c>
      <c r="C154" s="230"/>
      <c r="D154" s="298"/>
    </row>
    <row r="155" spans="1:4" x14ac:dyDescent="0.25">
      <c r="A155" s="304" t="s">
        <v>28</v>
      </c>
      <c r="B155" s="232">
        <f>B154*B153</f>
        <v>3521.4280699999999</v>
      </c>
      <c r="C155" s="230"/>
      <c r="D155" s="298"/>
    </row>
    <row r="156" spans="1:4" x14ac:dyDescent="0.25">
      <c r="A156" s="304" t="s">
        <v>200</v>
      </c>
      <c r="B156" s="325">
        <v>0.3</v>
      </c>
      <c r="C156" s="230"/>
      <c r="D156" s="298"/>
    </row>
    <row r="157" spans="1:4" x14ac:dyDescent="0.25">
      <c r="A157" s="304" t="s">
        <v>96</v>
      </c>
      <c r="B157" s="232">
        <f>B155*B156</f>
        <v>1056.4284209999998</v>
      </c>
      <c r="C157" s="230"/>
      <c r="D157" s="310"/>
    </row>
    <row r="158" spans="1:4" x14ac:dyDescent="0.25">
      <c r="A158" s="304" t="s">
        <v>201</v>
      </c>
      <c r="B158" s="311">
        <v>25</v>
      </c>
      <c r="C158" s="230"/>
      <c r="D158" s="310"/>
    </row>
    <row r="159" spans="1:4" x14ac:dyDescent="0.25">
      <c r="A159" s="312" t="s">
        <v>202</v>
      </c>
      <c r="B159" s="326">
        <f>B155+B157+B158</f>
        <v>4602.8564909999996</v>
      </c>
      <c r="C159" s="313" t="s">
        <v>216</v>
      </c>
      <c r="D159" s="327">
        <f>B159/B153</f>
        <v>383.57137424999996</v>
      </c>
    </row>
    <row r="160" spans="1:4" ht="15.75" thickBot="1" x14ac:dyDescent="0.3">
      <c r="A160" s="314" t="s">
        <v>203</v>
      </c>
      <c r="B160" s="315">
        <v>12</v>
      </c>
      <c r="C160" s="316" t="s">
        <v>204</v>
      </c>
      <c r="D160" s="328">
        <f>B159/B160</f>
        <v>383.57137424999996</v>
      </c>
    </row>
    <row r="162" spans="1:5" ht="15.75" x14ac:dyDescent="0.25">
      <c r="A162" s="1" t="s">
        <v>3</v>
      </c>
      <c r="B162" s="404" t="s">
        <v>226</v>
      </c>
      <c r="C162" s="404"/>
      <c r="D162" s="404"/>
      <c r="E162" s="404"/>
    </row>
    <row r="163" spans="1:5" ht="15.75" x14ac:dyDescent="0.25">
      <c r="A163" s="1" t="s">
        <v>4</v>
      </c>
      <c r="B163" s="404" t="s">
        <v>227</v>
      </c>
      <c r="C163" s="404"/>
      <c r="D163" s="404"/>
      <c r="E163" s="404"/>
    </row>
    <row r="164" spans="1:5" ht="16.5" thickBot="1" x14ac:dyDescent="0.3">
      <c r="A164" s="2" t="s">
        <v>6</v>
      </c>
      <c r="B164" s="388" t="s">
        <v>7</v>
      </c>
      <c r="C164" s="388"/>
      <c r="D164" s="388"/>
      <c r="E164" s="388"/>
    </row>
    <row r="165" spans="1:5" ht="16.5" thickBot="1" x14ac:dyDescent="0.3">
      <c r="A165" s="3" t="s">
        <v>8</v>
      </c>
      <c r="B165" s="405"/>
      <c r="C165" s="405"/>
      <c r="D165" s="405"/>
      <c r="E165" s="406"/>
    </row>
    <row r="166" spans="1:5" ht="15.75" thickBot="1" x14ac:dyDescent="0.3">
      <c r="A166" s="4" t="s">
        <v>9</v>
      </c>
      <c r="B166" s="5" t="s">
        <v>10</v>
      </c>
      <c r="C166" s="5" t="s">
        <v>11</v>
      </c>
      <c r="D166" s="5" t="s">
        <v>12</v>
      </c>
      <c r="E166" s="6" t="s">
        <v>13</v>
      </c>
    </row>
    <row r="167" spans="1:5" ht="15.75" thickTop="1" x14ac:dyDescent="0.25">
      <c r="A167" s="7" t="s">
        <v>228</v>
      </c>
      <c r="B167" s="8">
        <v>6</v>
      </c>
      <c r="C167" s="8">
        <v>6</v>
      </c>
      <c r="D167" s="8">
        <v>430</v>
      </c>
      <c r="E167" s="9">
        <f t="shared" ref="E167:E170" si="14">B167*C167*D167</f>
        <v>15480</v>
      </c>
    </row>
    <row r="168" spans="1:5" x14ac:dyDescent="0.25">
      <c r="A168" s="7" t="s">
        <v>229</v>
      </c>
      <c r="B168" s="8">
        <v>10</v>
      </c>
      <c r="C168" s="8">
        <v>10</v>
      </c>
      <c r="D168" s="8">
        <v>80</v>
      </c>
      <c r="E168" s="9">
        <f t="shared" si="14"/>
        <v>8000</v>
      </c>
    </row>
    <row r="169" spans="1:5" x14ac:dyDescent="0.25">
      <c r="A169" s="7"/>
      <c r="B169" s="8"/>
      <c r="C169" s="8"/>
      <c r="D169" s="8"/>
      <c r="E169" s="9">
        <f t="shared" si="14"/>
        <v>0</v>
      </c>
    </row>
    <row r="170" spans="1:5" ht="15.75" thickBot="1" x14ac:dyDescent="0.3">
      <c r="A170" s="10"/>
      <c r="B170" s="11"/>
      <c r="C170" s="11"/>
      <c r="D170" s="11"/>
      <c r="E170" s="12">
        <f t="shared" si="14"/>
        <v>0</v>
      </c>
    </row>
    <row r="171" spans="1:5" ht="15.75" thickTop="1" x14ac:dyDescent="0.25">
      <c r="A171" s="13" t="s">
        <v>14</v>
      </c>
      <c r="B171" s="14"/>
      <c r="C171" s="14"/>
      <c r="D171" s="14"/>
      <c r="E171" s="15">
        <f>SUM(E167:E170)</f>
        <v>23480</v>
      </c>
    </row>
    <row r="172" spans="1:5" ht="15.75" thickBot="1" x14ac:dyDescent="0.3">
      <c r="A172" s="16" t="s">
        <v>15</v>
      </c>
      <c r="B172" s="16">
        <v>1728</v>
      </c>
      <c r="C172" s="16"/>
      <c r="D172" s="16"/>
      <c r="E172" s="17">
        <f>E171/B172</f>
        <v>13.587962962962964</v>
      </c>
    </row>
    <row r="173" spans="1:5" ht="15.75" thickBot="1" x14ac:dyDescent="0.3">
      <c r="A173" s="16" t="s">
        <v>16</v>
      </c>
      <c r="B173" s="16"/>
      <c r="C173" s="16"/>
      <c r="D173" s="18"/>
      <c r="E173" s="19">
        <v>60</v>
      </c>
    </row>
    <row r="174" spans="1:5" ht="15.75" thickBot="1" x14ac:dyDescent="0.3">
      <c r="A174" s="16" t="s">
        <v>17</v>
      </c>
      <c r="B174" s="20"/>
      <c r="C174" s="16"/>
      <c r="D174" s="16"/>
      <c r="E174" s="21">
        <f>E172*E173</f>
        <v>815.27777777777783</v>
      </c>
    </row>
    <row r="175" spans="1:5" ht="15.75" thickBot="1" x14ac:dyDescent="0.3">
      <c r="A175" s="18" t="s">
        <v>18</v>
      </c>
      <c r="B175" s="22">
        <v>0.3</v>
      </c>
      <c r="C175" s="23"/>
      <c r="D175" s="16"/>
      <c r="E175" s="24">
        <f>E174*B175</f>
        <v>244.58333333333334</v>
      </c>
    </row>
    <row r="176" spans="1:5" x14ac:dyDescent="0.25">
      <c r="A176" s="16" t="s">
        <v>19</v>
      </c>
      <c r="B176" s="13"/>
      <c r="C176" s="16"/>
      <c r="D176" s="16"/>
      <c r="E176" s="24">
        <f>SUM(E174:E175)</f>
        <v>1059.8611111111111</v>
      </c>
    </row>
    <row r="177" spans="1:5" ht="15.75" thickBot="1" x14ac:dyDescent="0.3">
      <c r="A177" s="25" t="s">
        <v>20</v>
      </c>
      <c r="B177" s="25"/>
      <c r="C177" s="25"/>
      <c r="D177" s="25"/>
      <c r="E177" s="26">
        <f>E176*1.0725</f>
        <v>1136.7010416666667</v>
      </c>
    </row>
    <row r="178" spans="1:5" ht="15.75" thickTop="1" x14ac:dyDescent="0.25">
      <c r="A178" s="16" t="s">
        <v>21</v>
      </c>
      <c r="B178" s="27">
        <v>6</v>
      </c>
      <c r="C178" s="28">
        <v>130</v>
      </c>
      <c r="D178" s="29">
        <f>B178*C178</f>
        <v>780</v>
      </c>
      <c r="E178" s="18"/>
    </row>
    <row r="179" spans="1:5" x14ac:dyDescent="0.25">
      <c r="A179" s="16" t="s">
        <v>22</v>
      </c>
      <c r="B179" s="27">
        <v>2</v>
      </c>
      <c r="C179" s="28">
        <v>700</v>
      </c>
      <c r="D179" s="29">
        <f>B179*C179</f>
        <v>1400</v>
      </c>
      <c r="E179" s="18"/>
    </row>
    <row r="180" spans="1:5" x14ac:dyDescent="0.25">
      <c r="A180" s="16" t="s">
        <v>23</v>
      </c>
      <c r="B180" s="27">
        <v>16</v>
      </c>
      <c r="C180" s="28">
        <v>70</v>
      </c>
      <c r="D180" s="29">
        <f>B180*C180</f>
        <v>1120</v>
      </c>
      <c r="E180" s="18"/>
    </row>
    <row r="181" spans="1:5" x14ac:dyDescent="0.25">
      <c r="A181" s="16" t="s">
        <v>24</v>
      </c>
      <c r="B181" s="27">
        <v>0</v>
      </c>
      <c r="C181" s="28">
        <v>400</v>
      </c>
      <c r="D181" s="29">
        <f>B181*C181</f>
        <v>0</v>
      </c>
      <c r="E181" s="18"/>
    </row>
    <row r="182" spans="1:5" ht="15.75" thickBot="1" x14ac:dyDescent="0.3">
      <c r="A182" s="25" t="s">
        <v>25</v>
      </c>
      <c r="B182" s="30">
        <v>2</v>
      </c>
      <c r="C182" s="31">
        <v>100</v>
      </c>
      <c r="D182" s="32">
        <f>B182*C182</f>
        <v>200</v>
      </c>
      <c r="E182" s="12"/>
    </row>
    <row r="183" spans="1:5" ht="16.5" thickTop="1" thickBot="1" x14ac:dyDescent="0.3">
      <c r="A183" s="33" t="s">
        <v>26</v>
      </c>
      <c r="B183" s="33"/>
      <c r="C183" s="34"/>
      <c r="D183" s="35"/>
      <c r="E183" s="36">
        <f>SUM(D178:D182)</f>
        <v>3500</v>
      </c>
    </row>
    <row r="184" spans="1:5" x14ac:dyDescent="0.25">
      <c r="A184" s="13" t="s">
        <v>27</v>
      </c>
      <c r="B184" s="13"/>
      <c r="C184" s="13"/>
      <c r="D184" s="37"/>
      <c r="E184" s="38">
        <v>25</v>
      </c>
    </row>
    <row r="185" spans="1:5" x14ac:dyDescent="0.25">
      <c r="A185" s="16" t="s">
        <v>28</v>
      </c>
      <c r="B185" s="16"/>
      <c r="C185" s="16"/>
      <c r="D185" s="29"/>
      <c r="E185" s="39">
        <f>E177+E183+E184</f>
        <v>4661.7010416666672</v>
      </c>
    </row>
    <row r="186" spans="1:5" ht="15.75" thickBot="1" x14ac:dyDescent="0.3">
      <c r="A186" s="9" t="s">
        <v>29</v>
      </c>
      <c r="B186" s="40">
        <v>0.27</v>
      </c>
      <c r="C186" s="41"/>
      <c r="D186" s="42"/>
      <c r="E186" s="21">
        <f>E185*B186</f>
        <v>1258.6592812500003</v>
      </c>
    </row>
    <row r="187" spans="1:5" x14ac:dyDescent="0.25">
      <c r="A187" s="16" t="s">
        <v>30</v>
      </c>
      <c r="B187" s="43"/>
      <c r="C187" s="16"/>
      <c r="D187" s="29"/>
      <c r="E187" s="24">
        <f>SUM(E185:E186)</f>
        <v>5920.3603229166674</v>
      </c>
    </row>
    <row r="188" spans="1:5" x14ac:dyDescent="0.25">
      <c r="A188" s="16" t="s">
        <v>31</v>
      </c>
      <c r="B188" s="44">
        <v>0.15</v>
      </c>
      <c r="C188" s="16"/>
      <c r="D188" s="16"/>
      <c r="E188" s="24">
        <f>E187*B188</f>
        <v>888.05404843750011</v>
      </c>
    </row>
    <row r="189" spans="1:5" x14ac:dyDescent="0.25">
      <c r="A189" s="45" t="s">
        <v>32</v>
      </c>
      <c r="B189" s="45"/>
      <c r="C189" s="45"/>
      <c r="D189" s="45"/>
      <c r="E189" s="46">
        <f>SUM(E187:E188)</f>
        <v>6808.4143713541671</v>
      </c>
    </row>
    <row r="191" spans="1:5" ht="15.75" thickBot="1" x14ac:dyDescent="0.3"/>
    <row r="192" spans="1:5" ht="15.75" thickBot="1" x14ac:dyDescent="0.3">
      <c r="A192" s="343" t="s">
        <v>266</v>
      </c>
    </row>
    <row r="193" spans="1:27" ht="16.5" thickBot="1" x14ac:dyDescent="0.3">
      <c r="A193" s="342" t="s">
        <v>0</v>
      </c>
      <c r="B193" s="395" t="s">
        <v>260</v>
      </c>
      <c r="C193" s="395"/>
      <c r="D193" s="396"/>
      <c r="E193" s="397" t="s">
        <v>44</v>
      </c>
      <c r="F193" s="398"/>
      <c r="G193" s="398"/>
      <c r="H193" s="398"/>
      <c r="I193" s="399"/>
    </row>
    <row r="194" spans="1:27" ht="15.75" x14ac:dyDescent="0.25">
      <c r="A194" s="1" t="s">
        <v>1</v>
      </c>
      <c r="B194" s="395" t="s">
        <v>100</v>
      </c>
      <c r="C194" s="395"/>
      <c r="D194" s="396"/>
      <c r="E194" s="400" t="s">
        <v>265</v>
      </c>
      <c r="F194" s="401"/>
      <c r="G194" s="401"/>
      <c r="H194" s="401"/>
      <c r="I194" s="402"/>
    </row>
    <row r="195" spans="1:27" ht="15.75" x14ac:dyDescent="0.25">
      <c r="A195" s="2" t="s">
        <v>45</v>
      </c>
      <c r="B195" s="396"/>
      <c r="C195" s="403"/>
      <c r="D195" s="403"/>
      <c r="E195" s="390"/>
      <c r="F195" s="391"/>
      <c r="G195" s="391"/>
      <c r="H195" s="391"/>
      <c r="I195" s="392"/>
    </row>
    <row r="196" spans="1:27" ht="15.75" x14ac:dyDescent="0.25">
      <c r="A196" s="2" t="s">
        <v>2</v>
      </c>
      <c r="B196" s="388">
        <v>45665</v>
      </c>
      <c r="C196" s="388"/>
      <c r="D196" s="389"/>
      <c r="E196" s="390"/>
      <c r="F196" s="391"/>
      <c r="G196" s="391"/>
      <c r="H196" s="391"/>
      <c r="I196" s="392"/>
    </row>
    <row r="197" spans="1:27" ht="15.75" x14ac:dyDescent="0.25">
      <c r="A197" s="70" t="s">
        <v>46</v>
      </c>
      <c r="B197" s="393"/>
      <c r="C197" s="394"/>
      <c r="D197" s="394"/>
      <c r="E197" s="390"/>
      <c r="F197" s="391"/>
      <c r="G197" s="391"/>
      <c r="H197" s="391"/>
      <c r="I197" s="392"/>
    </row>
    <row r="198" spans="1:27" ht="15.75" x14ac:dyDescent="0.25">
      <c r="A198" s="70" t="s">
        <v>47</v>
      </c>
      <c r="B198" s="393" t="s">
        <v>101</v>
      </c>
      <c r="C198" s="394"/>
      <c r="D198" s="394"/>
      <c r="E198" s="390"/>
      <c r="F198" s="391"/>
      <c r="G198" s="391"/>
      <c r="H198" s="391"/>
      <c r="I198" s="392"/>
    </row>
    <row r="199" spans="1:27" ht="16.5" thickBot="1" x14ac:dyDescent="0.3">
      <c r="A199" s="71" t="s">
        <v>8</v>
      </c>
      <c r="B199" s="376">
        <v>8776</v>
      </c>
      <c r="C199" s="377"/>
      <c r="D199" s="377"/>
      <c r="E199" s="378"/>
      <c r="F199" s="379"/>
      <c r="G199" s="379"/>
      <c r="H199" s="379"/>
      <c r="I199" s="380"/>
    </row>
    <row r="200" spans="1:27" ht="15.75" thickBot="1" x14ac:dyDescent="0.3">
      <c r="A200" s="72" t="s">
        <v>48</v>
      </c>
      <c r="B200" s="381" t="s">
        <v>49</v>
      </c>
      <c r="C200" s="382"/>
      <c r="D200" s="382"/>
      <c r="E200" s="382"/>
      <c r="F200" s="383"/>
      <c r="G200" s="73"/>
      <c r="H200" s="73"/>
      <c r="I200" s="384" t="s">
        <v>50</v>
      </c>
      <c r="J200" s="385"/>
      <c r="K200" s="367" t="s">
        <v>52</v>
      </c>
      <c r="L200" s="367"/>
      <c r="M200" s="367"/>
      <c r="N200" s="368"/>
      <c r="O200" s="367"/>
      <c r="P200" s="369"/>
      <c r="Q200" s="370" t="s">
        <v>275</v>
      </c>
      <c r="R200" s="367"/>
      <c r="S200" s="367"/>
      <c r="T200" s="370" t="s">
        <v>53</v>
      </c>
      <c r="U200" s="367"/>
      <c r="V200" s="369"/>
      <c r="W200" s="371" t="s">
        <v>54</v>
      </c>
      <c r="X200" s="372"/>
      <c r="Y200" s="372"/>
      <c r="Z200" s="372"/>
      <c r="AA200" s="373"/>
    </row>
    <row r="201" spans="1:27" ht="45.75" thickBot="1" x14ac:dyDescent="0.3">
      <c r="A201" s="75" t="s">
        <v>56</v>
      </c>
      <c r="B201" s="76" t="s">
        <v>57</v>
      </c>
      <c r="C201" s="77" t="s">
        <v>58</v>
      </c>
      <c r="D201" s="78" t="s">
        <v>59</v>
      </c>
      <c r="E201" s="79" t="s">
        <v>60</v>
      </c>
      <c r="F201" s="79" t="s">
        <v>61</v>
      </c>
      <c r="G201" s="210" t="s">
        <v>107</v>
      </c>
      <c r="H201" s="80" t="s">
        <v>62</v>
      </c>
      <c r="I201" s="81" t="s">
        <v>63</v>
      </c>
      <c r="J201" s="82" t="s">
        <v>64</v>
      </c>
      <c r="K201" s="317" t="s">
        <v>206</v>
      </c>
      <c r="L201" s="317" t="s">
        <v>207</v>
      </c>
      <c r="M201" s="86" t="s">
        <v>104</v>
      </c>
      <c r="N201" s="207" t="s">
        <v>105</v>
      </c>
      <c r="O201" s="208" t="s">
        <v>106</v>
      </c>
      <c r="P201" s="216" t="s">
        <v>68</v>
      </c>
      <c r="Q201" s="87" t="s">
        <v>69</v>
      </c>
      <c r="R201" s="87" t="s">
        <v>70</v>
      </c>
      <c r="S201" s="74" t="s">
        <v>71</v>
      </c>
      <c r="T201" s="87" t="s">
        <v>72</v>
      </c>
      <c r="U201" s="87" t="s">
        <v>73</v>
      </c>
      <c r="V201" s="87" t="s">
        <v>74</v>
      </c>
      <c r="W201" s="88" t="s">
        <v>75</v>
      </c>
      <c r="X201" s="89" t="s">
        <v>76</v>
      </c>
      <c r="Y201" s="206" t="s">
        <v>103</v>
      </c>
      <c r="Z201" s="215" t="s">
        <v>274</v>
      </c>
      <c r="AA201" s="335" t="s">
        <v>77</v>
      </c>
    </row>
    <row r="202" spans="1:27" x14ac:dyDescent="0.25">
      <c r="A202" s="93" t="s">
        <v>269</v>
      </c>
      <c r="B202" s="94">
        <v>32</v>
      </c>
      <c r="C202" s="95">
        <v>2.25</v>
      </c>
      <c r="D202" s="96">
        <f t="shared" ref="D202" si="15">B202*C202</f>
        <v>72</v>
      </c>
      <c r="E202" s="97"/>
      <c r="F202" s="340">
        <f t="shared" ref="F202:F213" si="16">C202*E202</f>
        <v>0</v>
      </c>
      <c r="G202" s="341" t="s">
        <v>108</v>
      </c>
      <c r="H202" s="98"/>
      <c r="I202" s="99">
        <f>B202</f>
        <v>32</v>
      </c>
      <c r="J202" s="100"/>
      <c r="K202" s="104"/>
      <c r="L202" s="318"/>
      <c r="M202" s="105">
        <v>32</v>
      </c>
      <c r="N202" s="106"/>
      <c r="O202" s="105"/>
      <c r="P202" s="105"/>
      <c r="Q202" s="107"/>
      <c r="R202" s="108"/>
      <c r="S202" s="109">
        <f t="shared" ref="S202:S213" si="17">Q202*R202</f>
        <v>0</v>
      </c>
      <c r="T202" s="110"/>
      <c r="U202" s="110"/>
      <c r="V202" s="111">
        <f>T202*U202</f>
        <v>0</v>
      </c>
      <c r="W202" s="112"/>
      <c r="X202" s="113"/>
      <c r="Y202" s="113"/>
      <c r="Z202" s="114"/>
      <c r="AA202" s="336"/>
    </row>
    <row r="203" spans="1:27" x14ac:dyDescent="0.25">
      <c r="A203" s="281" t="s">
        <v>267</v>
      </c>
      <c r="B203" s="279">
        <v>32</v>
      </c>
      <c r="C203" s="280">
        <v>6</v>
      </c>
      <c r="D203" s="281">
        <f>B203*C203-15</f>
        <v>177</v>
      </c>
      <c r="E203" s="282">
        <v>2</v>
      </c>
      <c r="F203" s="285">
        <f t="shared" si="16"/>
        <v>12</v>
      </c>
      <c r="G203" s="286" t="s">
        <v>112</v>
      </c>
      <c r="H203" s="118"/>
      <c r="I203" s="99"/>
      <c r="J203" s="93"/>
      <c r="K203" s="104"/>
      <c r="L203" s="318">
        <v>6</v>
      </c>
      <c r="M203" s="105">
        <v>2</v>
      </c>
      <c r="N203" s="106"/>
      <c r="O203" s="105"/>
      <c r="P203" s="105"/>
      <c r="Q203" s="122"/>
      <c r="R203" s="123"/>
      <c r="S203" s="105">
        <f t="shared" si="17"/>
        <v>0</v>
      </c>
      <c r="T203" s="123"/>
      <c r="U203" s="123"/>
      <c r="V203" s="124">
        <f t="shared" ref="V203" si="18">T203*U203</f>
        <v>0</v>
      </c>
      <c r="W203" s="112"/>
      <c r="X203" s="113"/>
      <c r="Y203" s="113"/>
      <c r="Z203" s="114"/>
      <c r="AA203" s="336"/>
    </row>
    <row r="204" spans="1:27" x14ac:dyDescent="0.25">
      <c r="A204" s="93" t="s">
        <v>268</v>
      </c>
      <c r="B204" s="94">
        <v>23</v>
      </c>
      <c r="C204" s="95">
        <v>2.25</v>
      </c>
      <c r="D204" s="96">
        <f>B204*C204-H204</f>
        <v>51.75</v>
      </c>
      <c r="E204" s="97"/>
      <c r="F204" s="211">
        <f t="shared" si="16"/>
        <v>0</v>
      </c>
      <c r="G204" s="341" t="s">
        <v>108</v>
      </c>
      <c r="H204" s="118"/>
      <c r="I204" s="99">
        <f t="shared" ref="I204:I213" si="19">B204</f>
        <v>23</v>
      </c>
      <c r="J204" s="93"/>
      <c r="K204" s="104"/>
      <c r="L204" s="318"/>
      <c r="M204" s="105">
        <v>23</v>
      </c>
      <c r="N204" s="106"/>
      <c r="O204" s="105"/>
      <c r="P204" s="105"/>
      <c r="Q204" s="122"/>
      <c r="R204" s="123"/>
      <c r="S204" s="105">
        <f t="shared" si="17"/>
        <v>0</v>
      </c>
      <c r="T204" s="123"/>
      <c r="U204" s="123"/>
      <c r="V204" s="124">
        <f t="shared" ref="V204:V213" si="20">T204*U204</f>
        <v>0</v>
      </c>
      <c r="W204" s="112"/>
      <c r="X204" s="113"/>
      <c r="Y204" s="113"/>
      <c r="Z204" s="114"/>
      <c r="AA204" s="336"/>
    </row>
    <row r="205" spans="1:27" x14ac:dyDescent="0.25">
      <c r="A205" s="281" t="s">
        <v>270</v>
      </c>
      <c r="B205" s="279">
        <v>23</v>
      </c>
      <c r="C205" s="280">
        <v>6</v>
      </c>
      <c r="D205" s="281">
        <f>B205*C205-15</f>
        <v>123</v>
      </c>
      <c r="E205" s="282">
        <v>2</v>
      </c>
      <c r="F205" s="285">
        <f t="shared" si="16"/>
        <v>12</v>
      </c>
      <c r="G205" s="284" t="s">
        <v>112</v>
      </c>
      <c r="H205" s="118"/>
      <c r="I205" s="99"/>
      <c r="J205" s="93"/>
      <c r="K205" s="104"/>
      <c r="L205" s="318">
        <v>4</v>
      </c>
      <c r="M205" s="105"/>
      <c r="N205" s="106"/>
      <c r="O205" s="105"/>
      <c r="P205" s="105"/>
      <c r="Q205" s="122"/>
      <c r="R205" s="123"/>
      <c r="S205" s="105">
        <f t="shared" si="17"/>
        <v>0</v>
      </c>
      <c r="T205" s="123"/>
      <c r="U205" s="123"/>
      <c r="V205" s="124">
        <f t="shared" si="20"/>
        <v>0</v>
      </c>
      <c r="W205" s="112"/>
      <c r="X205" s="113"/>
      <c r="Y205" s="113"/>
      <c r="Z205" s="114"/>
      <c r="AA205" s="336"/>
    </row>
    <row r="206" spans="1:27" x14ac:dyDescent="0.25">
      <c r="A206" s="93" t="s">
        <v>271</v>
      </c>
      <c r="B206" s="94">
        <v>9</v>
      </c>
      <c r="C206" s="95">
        <v>2.25</v>
      </c>
      <c r="D206" s="96">
        <f t="shared" ref="D206:D213" si="21">B206*C206</f>
        <v>20.25</v>
      </c>
      <c r="E206" s="97"/>
      <c r="F206" s="211">
        <f t="shared" si="16"/>
        <v>0</v>
      </c>
      <c r="G206" s="341" t="s">
        <v>108</v>
      </c>
      <c r="H206" s="118"/>
      <c r="I206" s="99">
        <f t="shared" si="19"/>
        <v>9</v>
      </c>
      <c r="J206" s="93"/>
      <c r="K206" s="104"/>
      <c r="L206" s="318"/>
      <c r="M206" s="105"/>
      <c r="N206" s="106"/>
      <c r="O206" s="105"/>
      <c r="P206" s="105"/>
      <c r="Q206" s="122"/>
      <c r="R206" s="123"/>
      <c r="S206" s="105">
        <f t="shared" si="17"/>
        <v>0</v>
      </c>
      <c r="T206" s="123"/>
      <c r="U206" s="123"/>
      <c r="V206" s="124">
        <f t="shared" si="20"/>
        <v>0</v>
      </c>
      <c r="W206" s="112"/>
      <c r="X206" s="113"/>
      <c r="Y206" s="113"/>
      <c r="Z206" s="114"/>
      <c r="AA206" s="336"/>
    </row>
    <row r="207" spans="1:27" x14ac:dyDescent="0.25">
      <c r="A207" s="281" t="s">
        <v>272</v>
      </c>
      <c r="B207" s="279">
        <v>9</v>
      </c>
      <c r="C207" s="280">
        <v>6</v>
      </c>
      <c r="D207" s="281">
        <f t="shared" si="21"/>
        <v>54</v>
      </c>
      <c r="E207" s="282"/>
      <c r="F207" s="285">
        <f t="shared" si="16"/>
        <v>0</v>
      </c>
      <c r="G207" s="284" t="s">
        <v>112</v>
      </c>
      <c r="H207" s="118"/>
      <c r="I207" s="99"/>
      <c r="J207" s="93"/>
      <c r="K207" s="104"/>
      <c r="L207" s="318"/>
      <c r="M207" s="105"/>
      <c r="N207" s="106"/>
      <c r="O207" s="105"/>
      <c r="P207" s="105"/>
      <c r="Q207" s="122"/>
      <c r="R207" s="123"/>
      <c r="S207" s="105">
        <f t="shared" si="17"/>
        <v>0</v>
      </c>
      <c r="T207" s="123"/>
      <c r="U207" s="123"/>
      <c r="V207" s="124">
        <f t="shared" si="20"/>
        <v>0</v>
      </c>
      <c r="W207" s="112"/>
      <c r="X207" s="113"/>
      <c r="Y207" s="113"/>
      <c r="Z207" s="114"/>
      <c r="AA207" s="336"/>
    </row>
    <row r="208" spans="1:27" ht="15.75" thickBot="1" x14ac:dyDescent="0.3">
      <c r="A208" s="93" t="s">
        <v>273</v>
      </c>
      <c r="B208" s="94">
        <v>19.5</v>
      </c>
      <c r="C208" s="95">
        <v>7</v>
      </c>
      <c r="D208" s="96">
        <f t="shared" si="21"/>
        <v>136.5</v>
      </c>
      <c r="E208" s="97"/>
      <c r="F208" s="212">
        <f t="shared" si="16"/>
        <v>0</v>
      </c>
      <c r="G208" s="214" t="s">
        <v>108</v>
      </c>
      <c r="H208" s="125">
        <f>28*3</f>
        <v>84</v>
      </c>
      <c r="I208" s="99">
        <v>8</v>
      </c>
      <c r="J208" s="127"/>
      <c r="K208" s="104"/>
      <c r="L208" s="318"/>
      <c r="M208" s="105"/>
      <c r="N208" s="105"/>
      <c r="O208" s="105"/>
      <c r="P208" s="105"/>
      <c r="Q208" s="344"/>
      <c r="R208" s="345"/>
      <c r="S208" s="346">
        <v>27</v>
      </c>
      <c r="T208" s="134"/>
      <c r="U208" s="134"/>
      <c r="V208" s="135">
        <f>16*3</f>
        <v>48</v>
      </c>
      <c r="W208" s="136"/>
      <c r="X208" s="137"/>
      <c r="Y208" s="137"/>
      <c r="Z208" s="138">
        <v>2</v>
      </c>
      <c r="AA208" s="337"/>
    </row>
    <row r="209" spans="1:27" ht="15.75" thickBot="1" x14ac:dyDescent="0.3">
      <c r="A209" s="281" t="s">
        <v>276</v>
      </c>
      <c r="B209" s="279">
        <v>9.5</v>
      </c>
      <c r="C209" s="280">
        <v>3.5</v>
      </c>
      <c r="D209" s="281">
        <f t="shared" si="21"/>
        <v>33.25</v>
      </c>
      <c r="E209" s="282">
        <v>1</v>
      </c>
      <c r="F209" s="287">
        <f t="shared" si="16"/>
        <v>3.5</v>
      </c>
      <c r="G209" s="288" t="s">
        <v>112</v>
      </c>
      <c r="H209" s="125"/>
      <c r="I209" s="99"/>
      <c r="J209" s="127"/>
      <c r="K209" s="104"/>
      <c r="L209" s="318"/>
      <c r="M209" s="105"/>
      <c r="N209" s="105"/>
      <c r="O209" s="105"/>
      <c r="P209" s="105"/>
      <c r="Q209" s="131"/>
      <c r="R209" s="132"/>
      <c r="S209" s="133">
        <f t="shared" si="17"/>
        <v>0</v>
      </c>
      <c r="T209" s="134"/>
      <c r="U209" s="134"/>
      <c r="V209" s="135">
        <f t="shared" si="20"/>
        <v>0</v>
      </c>
      <c r="W209" s="136"/>
      <c r="X209" s="137"/>
      <c r="Y209" s="137"/>
      <c r="Z209" s="138"/>
      <c r="AA209" s="337"/>
    </row>
    <row r="210" spans="1:27" ht="15.75" thickBot="1" x14ac:dyDescent="0.3">
      <c r="A210" s="281" t="s">
        <v>276</v>
      </c>
      <c r="B210" s="279">
        <v>27</v>
      </c>
      <c r="C210" s="280">
        <v>2</v>
      </c>
      <c r="D210" s="281">
        <f t="shared" si="21"/>
        <v>54</v>
      </c>
      <c r="E210" s="282">
        <v>1</v>
      </c>
      <c r="F210" s="287">
        <f t="shared" si="16"/>
        <v>2</v>
      </c>
      <c r="G210" s="288" t="s">
        <v>112</v>
      </c>
      <c r="H210" s="125"/>
      <c r="I210" s="339"/>
      <c r="J210" s="127"/>
      <c r="K210" s="104"/>
      <c r="L210" s="318"/>
      <c r="M210" s="105"/>
      <c r="N210" s="105"/>
      <c r="O210" s="105"/>
      <c r="P210" s="105"/>
      <c r="Q210" s="131"/>
      <c r="R210" s="132"/>
      <c r="S210" s="133"/>
      <c r="T210" s="134"/>
      <c r="U210" s="134"/>
      <c r="V210" s="135"/>
      <c r="W210" s="136"/>
      <c r="X210" s="137"/>
      <c r="Y210" s="137"/>
      <c r="Z210" s="138"/>
      <c r="AA210" s="337"/>
    </row>
    <row r="211" spans="1:27" ht="15.75" thickBot="1" x14ac:dyDescent="0.3">
      <c r="A211" s="281" t="s">
        <v>276</v>
      </c>
      <c r="B211" s="279">
        <v>23</v>
      </c>
      <c r="C211" s="280">
        <v>2</v>
      </c>
      <c r="D211" s="281">
        <f t="shared" si="21"/>
        <v>46</v>
      </c>
      <c r="E211" s="282">
        <v>1</v>
      </c>
      <c r="F211" s="287">
        <f t="shared" si="16"/>
        <v>2</v>
      </c>
      <c r="G211" s="288" t="s">
        <v>112</v>
      </c>
      <c r="H211" s="125"/>
      <c r="I211" s="339"/>
      <c r="J211" s="127"/>
      <c r="K211" s="104"/>
      <c r="L211" s="318"/>
      <c r="M211" s="105"/>
      <c r="N211" s="105"/>
      <c r="O211" s="105"/>
      <c r="P211" s="105"/>
      <c r="Q211" s="131"/>
      <c r="R211" s="132"/>
      <c r="S211" s="133"/>
      <c r="T211" s="134"/>
      <c r="U211" s="134"/>
      <c r="V211" s="135"/>
      <c r="W211" s="136"/>
      <c r="X211" s="137"/>
      <c r="Y211" s="137"/>
      <c r="Z211" s="138"/>
      <c r="AA211" s="337"/>
    </row>
    <row r="212" spans="1:27" ht="15.75" thickBot="1" x14ac:dyDescent="0.3">
      <c r="A212" s="93"/>
      <c r="B212" s="94"/>
      <c r="C212" s="95"/>
      <c r="D212" s="96"/>
      <c r="E212" s="97"/>
      <c r="F212" s="212"/>
      <c r="G212" s="214"/>
      <c r="H212" s="125"/>
      <c r="I212" s="339"/>
      <c r="J212" s="127"/>
      <c r="K212" s="104"/>
      <c r="L212" s="318"/>
      <c r="M212" s="105"/>
      <c r="N212" s="105"/>
      <c r="O212" s="105"/>
      <c r="P212" s="105"/>
      <c r="Q212" s="131"/>
      <c r="R212" s="132"/>
      <c r="S212" s="133"/>
      <c r="T212" s="134"/>
      <c r="U212" s="134"/>
      <c r="V212" s="135"/>
      <c r="W212" s="136"/>
      <c r="X212" s="137"/>
      <c r="Y212" s="137"/>
      <c r="Z212" s="138"/>
      <c r="AA212" s="337"/>
    </row>
    <row r="213" spans="1:27" ht="15.75" thickBot="1" x14ac:dyDescent="0.3">
      <c r="A213" s="93"/>
      <c r="B213" s="94"/>
      <c r="C213" s="95"/>
      <c r="D213" s="96">
        <f t="shared" si="21"/>
        <v>0</v>
      </c>
      <c r="E213" s="97"/>
      <c r="F213" s="212">
        <f t="shared" si="16"/>
        <v>0</v>
      </c>
      <c r="G213" s="214"/>
      <c r="H213" s="125">
        <f>SUM(F213)</f>
        <v>0</v>
      </c>
      <c r="I213" s="339">
        <f t="shared" si="19"/>
        <v>0</v>
      </c>
      <c r="J213" s="127"/>
      <c r="K213" s="104"/>
      <c r="L213" s="318"/>
      <c r="M213" s="105"/>
      <c r="N213" s="105"/>
      <c r="O213" s="105"/>
      <c r="P213" s="105"/>
      <c r="Q213" s="131"/>
      <c r="R213" s="132"/>
      <c r="S213" s="133">
        <f t="shared" si="17"/>
        <v>0</v>
      </c>
      <c r="T213" s="134"/>
      <c r="U213" s="134"/>
      <c r="V213" s="135">
        <f t="shared" si="20"/>
        <v>0</v>
      </c>
      <c r="W213" s="136"/>
      <c r="X213" s="137"/>
      <c r="Y213" s="137"/>
      <c r="Z213" s="138"/>
      <c r="AA213" s="337"/>
    </row>
    <row r="214" spans="1:27" ht="15.75" thickBot="1" x14ac:dyDescent="0.3">
      <c r="A214" s="139" t="s">
        <v>78</v>
      </c>
      <c r="B214" s="140"/>
      <c r="C214" s="141"/>
      <c r="D214" s="142">
        <f>SUM(D202:D213)</f>
        <v>767.75</v>
      </c>
      <c r="E214" s="143"/>
      <c r="F214" s="143">
        <f>SUM(F202:F213)</f>
        <v>31.5</v>
      </c>
      <c r="G214" s="209"/>
      <c r="H214" s="144">
        <f t="shared" ref="H214:P214" si="22">SUM(H202:H213)</f>
        <v>84</v>
      </c>
      <c r="I214" s="146">
        <f t="shared" si="22"/>
        <v>72</v>
      </c>
      <c r="J214" s="146">
        <f t="shared" si="22"/>
        <v>0</v>
      </c>
      <c r="K214" s="148">
        <f t="shared" si="22"/>
        <v>0</v>
      </c>
      <c r="L214" s="148">
        <f t="shared" si="22"/>
        <v>10</v>
      </c>
      <c r="M214" s="149">
        <f t="shared" si="22"/>
        <v>57</v>
      </c>
      <c r="N214" s="149">
        <f t="shared" si="22"/>
        <v>0</v>
      </c>
      <c r="O214" s="150">
        <f t="shared" si="22"/>
        <v>0</v>
      </c>
      <c r="P214" s="150">
        <f t="shared" si="22"/>
        <v>0</v>
      </c>
      <c r="Q214" s="151"/>
      <c r="R214" s="149"/>
      <c r="S214" s="150"/>
      <c r="T214" s="151"/>
      <c r="U214" s="152"/>
      <c r="V214" s="153">
        <f t="shared" ref="V214:AA214" si="23">SUM(V202:V213)</f>
        <v>48</v>
      </c>
      <c r="W214" s="154">
        <f t="shared" si="23"/>
        <v>0</v>
      </c>
      <c r="X214" s="155">
        <f t="shared" si="23"/>
        <v>0</v>
      </c>
      <c r="Y214" s="155">
        <f t="shared" si="23"/>
        <v>0</v>
      </c>
      <c r="Z214" s="156">
        <f t="shared" si="23"/>
        <v>2</v>
      </c>
      <c r="AA214" s="338">
        <f t="shared" si="23"/>
        <v>0</v>
      </c>
    </row>
    <row r="215" spans="1:27" ht="15.75" thickBot="1" x14ac:dyDescent="0.3">
      <c r="A215" s="158" t="s">
        <v>81</v>
      </c>
      <c r="B215" s="158">
        <f>(B217+B219)/40</f>
        <v>4.9124999999999996</v>
      </c>
      <c r="C215" s="159" t="s">
        <v>82</v>
      </c>
      <c r="D215" s="160">
        <f>D214-H214</f>
        <v>683.75</v>
      </c>
      <c r="E215" s="161"/>
      <c r="F215" s="161">
        <f>F214*1.15</f>
        <v>36.224999999999994</v>
      </c>
      <c r="G215" s="161"/>
      <c r="H215" s="162"/>
      <c r="I215" s="163"/>
      <c r="J215" s="164"/>
      <c r="K215" s="166">
        <f>K214*1.1</f>
        <v>0</v>
      </c>
      <c r="L215" s="166"/>
      <c r="M215" s="167">
        <f t="shared" ref="M215:P215" si="24">M214*1.1</f>
        <v>62.7</v>
      </c>
      <c r="N215" s="167">
        <f t="shared" si="24"/>
        <v>0</v>
      </c>
      <c r="O215" s="167">
        <f t="shared" si="24"/>
        <v>0</v>
      </c>
      <c r="P215" s="168">
        <f t="shared" si="24"/>
        <v>0</v>
      </c>
      <c r="Q215" s="365"/>
      <c r="R215" s="366"/>
      <c r="S215" s="169">
        <f t="shared" ref="S215" si="25">S214*1.1</f>
        <v>0</v>
      </c>
      <c r="T215" s="365"/>
      <c r="U215" s="366"/>
      <c r="V215" s="169">
        <f>V214*1.15</f>
        <v>55.199999999999996</v>
      </c>
      <c r="W215" s="170">
        <f>W214</f>
        <v>0</v>
      </c>
      <c r="X215" s="170">
        <f t="shared" ref="X215:AA215" si="26">X214</f>
        <v>0</v>
      </c>
      <c r="Y215" s="170">
        <f t="shared" si="26"/>
        <v>0</v>
      </c>
      <c r="Z215" s="170">
        <f t="shared" si="26"/>
        <v>2</v>
      </c>
      <c r="AA215" s="170">
        <f t="shared" si="26"/>
        <v>0</v>
      </c>
    </row>
    <row r="216" spans="1:27" ht="15.75" thickBot="1" x14ac:dyDescent="0.3">
      <c r="A216" s="174" t="s">
        <v>85</v>
      </c>
      <c r="B216" s="175">
        <f>B215/15</f>
        <v>0.32749999999999996</v>
      </c>
      <c r="C216" s="349" t="s">
        <v>86</v>
      </c>
      <c r="D216" s="350"/>
      <c r="E216" s="176"/>
      <c r="F216" s="177"/>
      <c r="G216" s="177"/>
      <c r="H216" s="177"/>
      <c r="I216" s="177"/>
      <c r="J216" s="178"/>
      <c r="K216" s="353" t="s">
        <v>88</v>
      </c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5"/>
      <c r="W216" s="356" t="s">
        <v>89</v>
      </c>
      <c r="X216" s="357"/>
      <c r="Y216" s="357"/>
      <c r="Z216" s="357"/>
      <c r="AA216" s="358"/>
    </row>
    <row r="217" spans="1:27" x14ac:dyDescent="0.25">
      <c r="A217" s="329" t="s">
        <v>193</v>
      </c>
      <c r="B217" s="330">
        <f>D215-B219-B220-B218</f>
        <v>196.5</v>
      </c>
      <c r="C217" s="183">
        <v>25</v>
      </c>
      <c r="D217" s="184">
        <f>B217*C217</f>
        <v>4912.5</v>
      </c>
    </row>
    <row r="218" spans="1:27" x14ac:dyDescent="0.25">
      <c r="A218" s="329" t="s">
        <v>192</v>
      </c>
      <c r="B218" s="330">
        <f>D211+D210+D209+D207+D205+D203</f>
        <v>487.25</v>
      </c>
      <c r="C218" s="183">
        <v>23</v>
      </c>
      <c r="D218" s="184">
        <f>B218*C218</f>
        <v>11206.75</v>
      </c>
    </row>
    <row r="219" spans="1:27" x14ac:dyDescent="0.25">
      <c r="A219" s="185" t="s">
        <v>190</v>
      </c>
      <c r="B219" s="182">
        <v>0</v>
      </c>
      <c r="C219" s="183">
        <v>35</v>
      </c>
      <c r="D219" s="184">
        <f t="shared" ref="D219:D222" si="27">B219*C219</f>
        <v>0</v>
      </c>
    </row>
    <row r="220" spans="1:27" x14ac:dyDescent="0.25">
      <c r="A220" s="185" t="s">
        <v>191</v>
      </c>
      <c r="B220" s="182">
        <v>0</v>
      </c>
      <c r="C220" s="183">
        <v>32</v>
      </c>
      <c r="D220" s="184">
        <f t="shared" si="27"/>
        <v>0</v>
      </c>
    </row>
    <row r="221" spans="1:27" x14ac:dyDescent="0.25">
      <c r="A221" s="186" t="s">
        <v>91</v>
      </c>
      <c r="B221" s="187">
        <f>SUM(K214:V214)</f>
        <v>115</v>
      </c>
      <c r="C221" s="183">
        <v>25</v>
      </c>
      <c r="D221" s="184">
        <f t="shared" si="27"/>
        <v>2875</v>
      </c>
      <c r="E221">
        <f>B221+28</f>
        <v>143</v>
      </c>
    </row>
    <row r="222" spans="1:27" ht="15.75" thickBot="1" x14ac:dyDescent="0.3">
      <c r="A222" s="188" t="s">
        <v>92</v>
      </c>
      <c r="B222" s="189">
        <f>I214+J214</f>
        <v>72</v>
      </c>
      <c r="C222" s="190">
        <v>25</v>
      </c>
      <c r="D222" s="191">
        <f t="shared" si="27"/>
        <v>1800</v>
      </c>
      <c r="F222" t="s">
        <v>189</v>
      </c>
    </row>
    <row r="223" spans="1:27" ht="15.75" thickTop="1" x14ac:dyDescent="0.25">
      <c r="A223" s="192" t="s">
        <v>93</v>
      </c>
      <c r="B223" s="193">
        <f>B218+B220</f>
        <v>487.25</v>
      </c>
      <c r="C223" s="194" t="s">
        <v>94</v>
      </c>
      <c r="D223" s="195">
        <f>SUM(D217:D222)</f>
        <v>20794.25</v>
      </c>
    </row>
    <row r="224" spans="1:27" ht="15.75" thickBot="1" x14ac:dyDescent="0.3">
      <c r="A224" s="196" t="s">
        <v>95</v>
      </c>
      <c r="B224" s="197">
        <f>F214/3</f>
        <v>10.5</v>
      </c>
      <c r="C224" s="198" t="s">
        <v>96</v>
      </c>
      <c r="D224" s="199">
        <f>D223*1.1</f>
        <v>22873.675000000003</v>
      </c>
      <c r="F224" s="230"/>
      <c r="G224" s="230"/>
      <c r="H224" s="230"/>
      <c r="I224" s="230"/>
    </row>
    <row r="225" spans="1:9" x14ac:dyDescent="0.25">
      <c r="A225" s="196" t="s">
        <v>97</v>
      </c>
      <c r="B225" s="200">
        <f>B223-B224</f>
        <v>476.75</v>
      </c>
      <c r="F225" s="230"/>
      <c r="G225" s="254"/>
      <c r="H225" s="254"/>
      <c r="I225" s="254"/>
    </row>
    <row r="226" spans="1:9" ht="15.75" thickBot="1" x14ac:dyDescent="0.3">
      <c r="A226" s="201" t="s">
        <v>194</v>
      </c>
      <c r="B226" s="202">
        <f>B225*1.1</f>
        <v>524.42500000000007</v>
      </c>
      <c r="F226" s="230"/>
      <c r="G226" s="254"/>
      <c r="H226" s="254"/>
      <c r="I226" s="254"/>
    </row>
    <row r="227" spans="1:9" x14ac:dyDescent="0.25">
      <c r="A227" s="203" t="s">
        <v>98</v>
      </c>
      <c r="B227" s="204" t="e">
        <f>#REF!</f>
        <v>#REF!</v>
      </c>
      <c r="F227" s="230"/>
      <c r="G227" s="254"/>
      <c r="H227" s="254"/>
      <c r="I227" s="254"/>
    </row>
    <row r="228" spans="1:9" ht="15.75" thickBot="1" x14ac:dyDescent="0.3">
      <c r="F228" s="230"/>
      <c r="G228" s="254"/>
      <c r="H228" s="254"/>
      <c r="I228" s="254"/>
    </row>
    <row r="229" spans="1:9" ht="15.75" thickBot="1" x14ac:dyDescent="0.3">
      <c r="A229" s="289" t="s">
        <v>277</v>
      </c>
      <c r="B229" s="290"/>
      <c r="C229" s="291"/>
      <c r="D229" s="292"/>
    </row>
    <row r="230" spans="1:9" ht="15.75" thickBot="1" x14ac:dyDescent="0.3">
      <c r="A230" s="293" t="s">
        <v>209</v>
      </c>
      <c r="B230" s="294"/>
      <c r="C230" s="295">
        <v>18</v>
      </c>
      <c r="D230" s="296"/>
    </row>
    <row r="231" spans="1:9" x14ac:dyDescent="0.25">
      <c r="A231" s="293" t="s">
        <v>210</v>
      </c>
      <c r="B231" s="319">
        <v>0.3</v>
      </c>
      <c r="C231" s="229">
        <f>C230*B231</f>
        <v>5.3999999999999995</v>
      </c>
      <c r="D231" s="298"/>
    </row>
    <row r="232" spans="1:9" x14ac:dyDescent="0.25">
      <c r="A232" s="293" t="s">
        <v>211</v>
      </c>
      <c r="B232" s="297"/>
      <c r="C232" s="232">
        <f>SUM(C230:C231)</f>
        <v>23.4</v>
      </c>
      <c r="D232" s="298"/>
    </row>
    <row r="233" spans="1:9" ht="15.75" thickBot="1" x14ac:dyDescent="0.3">
      <c r="A233" s="299" t="s">
        <v>212</v>
      </c>
      <c r="B233" s="250"/>
      <c r="C233" s="300">
        <f>C232*1.0725</f>
        <v>25.096499999999999</v>
      </c>
      <c r="D233" s="301"/>
    </row>
    <row r="234" spans="1:9" ht="15.75" thickTop="1" x14ac:dyDescent="0.25">
      <c r="A234" s="302" t="s">
        <v>195</v>
      </c>
      <c r="B234" s="227">
        <v>6</v>
      </c>
      <c r="C234" s="253">
        <v>130</v>
      </c>
      <c r="D234" s="303">
        <f>B234*C234</f>
        <v>780</v>
      </c>
    </row>
    <row r="235" spans="1:9" x14ac:dyDescent="0.25">
      <c r="A235" s="302" t="s">
        <v>196</v>
      </c>
      <c r="B235" s="227">
        <v>1</v>
      </c>
      <c r="C235" s="253">
        <v>700</v>
      </c>
      <c r="D235" s="303">
        <f>B235*C235</f>
        <v>700</v>
      </c>
    </row>
    <row r="236" spans="1:9" x14ac:dyDescent="0.25">
      <c r="A236" s="304" t="s">
        <v>23</v>
      </c>
      <c r="B236" s="116">
        <v>6</v>
      </c>
      <c r="C236" s="254">
        <v>70</v>
      </c>
      <c r="D236" s="305">
        <f>B236*C236</f>
        <v>420</v>
      </c>
    </row>
    <row r="237" spans="1:9" x14ac:dyDescent="0.25">
      <c r="A237" s="304" t="s">
        <v>197</v>
      </c>
      <c r="B237" s="116">
        <v>0</v>
      </c>
      <c r="C237" s="254">
        <v>0</v>
      </c>
      <c r="D237" s="305">
        <f>B237*C237</f>
        <v>0</v>
      </c>
    </row>
    <row r="238" spans="1:9" ht="15.75" thickBot="1" x14ac:dyDescent="0.3">
      <c r="A238" s="320" t="s">
        <v>198</v>
      </c>
      <c r="B238" s="321">
        <v>1</v>
      </c>
      <c r="C238" s="252">
        <v>100</v>
      </c>
      <c r="D238" s="322">
        <f>B238*C238</f>
        <v>100</v>
      </c>
    </row>
    <row r="239" spans="1:9" ht="15.75" thickTop="1" x14ac:dyDescent="0.25">
      <c r="A239" s="323" t="s">
        <v>199</v>
      </c>
      <c r="B239" s="257"/>
      <c r="C239" s="257"/>
      <c r="D239" s="324">
        <f>SUM(D234:D238)</f>
        <v>2000</v>
      </c>
    </row>
    <row r="240" spans="1:9" ht="15.75" thickBot="1" x14ac:dyDescent="0.3">
      <c r="A240" s="306" t="s">
        <v>213</v>
      </c>
      <c r="B240" s="307"/>
      <c r="C240" s="250"/>
      <c r="D240" s="308">
        <f>D239/B241</f>
        <v>55.555555555555557</v>
      </c>
    </row>
    <row r="241" spans="1:4" ht="15.75" thickTop="1" x14ac:dyDescent="0.25">
      <c r="A241" s="323" t="s">
        <v>214</v>
      </c>
      <c r="B241" s="247">
        <v>36</v>
      </c>
      <c r="C241" s="37"/>
      <c r="D241" s="309"/>
    </row>
    <row r="242" spans="1:4" x14ac:dyDescent="0.25">
      <c r="A242" s="304" t="s">
        <v>215</v>
      </c>
      <c r="B242" s="232">
        <f>C233+D240</f>
        <v>80.652055555555563</v>
      </c>
      <c r="C242" s="230"/>
      <c r="D242" s="298"/>
    </row>
    <row r="243" spans="1:4" x14ac:dyDescent="0.25">
      <c r="A243" s="304" t="s">
        <v>28</v>
      </c>
      <c r="B243" s="232">
        <f>B242*B241</f>
        <v>2903.4740000000002</v>
      </c>
      <c r="C243" s="230"/>
      <c r="D243" s="298"/>
    </row>
    <row r="244" spans="1:4" x14ac:dyDescent="0.25">
      <c r="A244" s="304" t="s">
        <v>200</v>
      </c>
      <c r="B244" s="325">
        <v>0.25</v>
      </c>
      <c r="C244" s="230"/>
      <c r="D244" s="298"/>
    </row>
    <row r="245" spans="1:4" x14ac:dyDescent="0.25">
      <c r="A245" s="304" t="s">
        <v>96</v>
      </c>
      <c r="B245" s="232">
        <f>B243*B244</f>
        <v>725.86850000000004</v>
      </c>
      <c r="C245" s="230"/>
      <c r="D245" s="310"/>
    </row>
    <row r="246" spans="1:4" x14ac:dyDescent="0.25">
      <c r="A246" s="304" t="s">
        <v>201</v>
      </c>
      <c r="B246" s="311">
        <v>25</v>
      </c>
      <c r="C246" s="230"/>
      <c r="D246" s="310"/>
    </row>
    <row r="247" spans="1:4" x14ac:dyDescent="0.25">
      <c r="A247" s="312" t="s">
        <v>202</v>
      </c>
      <c r="B247" s="326">
        <f>B243+B245+B246</f>
        <v>3654.3425000000002</v>
      </c>
      <c r="C247" s="313" t="s">
        <v>216</v>
      </c>
      <c r="D247" s="327">
        <f>B247/B241</f>
        <v>101.50951388888889</v>
      </c>
    </row>
    <row r="248" spans="1:4" ht="15.75" thickBot="1" x14ac:dyDescent="0.3">
      <c r="A248" s="314" t="s">
        <v>203</v>
      </c>
      <c r="B248" s="315">
        <v>3</v>
      </c>
      <c r="C248" s="316" t="s">
        <v>204</v>
      </c>
      <c r="D248" s="328">
        <f>B247/B248</f>
        <v>1218.1141666666667</v>
      </c>
    </row>
    <row r="249" spans="1:4" x14ac:dyDescent="0.25">
      <c r="A249" s="347" t="s">
        <v>278</v>
      </c>
    </row>
  </sheetData>
  <mergeCells count="60">
    <mergeCell ref="B1:D1"/>
    <mergeCell ref="E1:I1"/>
    <mergeCell ref="B2:D2"/>
    <mergeCell ref="E2:I2"/>
    <mergeCell ref="B3:D3"/>
    <mergeCell ref="E3:I3"/>
    <mergeCell ref="B4:D4"/>
    <mergeCell ref="E4:I4"/>
    <mergeCell ref="B5:D5"/>
    <mergeCell ref="E5:I5"/>
    <mergeCell ref="B6:D6"/>
    <mergeCell ref="E6:I6"/>
    <mergeCell ref="B7:D7"/>
    <mergeCell ref="E7:I7"/>
    <mergeCell ref="B8:F8"/>
    <mergeCell ref="I8:J8"/>
    <mergeCell ref="K8:M8"/>
    <mergeCell ref="T8:V8"/>
    <mergeCell ref="W8:Y8"/>
    <mergeCell ref="Z8:AD8"/>
    <mergeCell ref="AE8:AG8"/>
    <mergeCell ref="K20:L20"/>
    <mergeCell ref="AE20:AF20"/>
    <mergeCell ref="N8:S8"/>
    <mergeCell ref="K21:L21"/>
    <mergeCell ref="T21:U21"/>
    <mergeCell ref="W21:X21"/>
    <mergeCell ref="C22:D22"/>
    <mergeCell ref="K22:L22"/>
    <mergeCell ref="N22:Y22"/>
    <mergeCell ref="Z22:AD22"/>
    <mergeCell ref="B162:E162"/>
    <mergeCell ref="B163:E163"/>
    <mergeCell ref="B164:E164"/>
    <mergeCell ref="B165:E165"/>
    <mergeCell ref="B193:D193"/>
    <mergeCell ref="E193:I193"/>
    <mergeCell ref="B194:D194"/>
    <mergeCell ref="E194:I194"/>
    <mergeCell ref="B195:D195"/>
    <mergeCell ref="E195:I195"/>
    <mergeCell ref="B196:D196"/>
    <mergeCell ref="E196:I196"/>
    <mergeCell ref="B197:D197"/>
    <mergeCell ref="E197:I197"/>
    <mergeCell ref="B198:D198"/>
    <mergeCell ref="E198:I198"/>
    <mergeCell ref="K200:P200"/>
    <mergeCell ref="Q200:S200"/>
    <mergeCell ref="T200:V200"/>
    <mergeCell ref="W200:AA200"/>
    <mergeCell ref="B199:D199"/>
    <mergeCell ref="E199:I199"/>
    <mergeCell ref="B200:F200"/>
    <mergeCell ref="I200:J200"/>
    <mergeCell ref="W216:AA216"/>
    <mergeCell ref="Q215:R215"/>
    <mergeCell ref="T215:U215"/>
    <mergeCell ref="C216:D216"/>
    <mergeCell ref="K216:V2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5A37-D03F-48F7-B796-FCA97989D997}">
  <dimension ref="A1:J91"/>
  <sheetViews>
    <sheetView topLeftCell="A54" workbookViewId="0">
      <selection activeCell="G65" sqref="G65"/>
    </sheetView>
  </sheetViews>
  <sheetFormatPr defaultRowHeight="15" x14ac:dyDescent="0.25"/>
  <cols>
    <col min="1" max="1" width="23.5703125" bestFit="1" customWidth="1"/>
    <col min="4" max="4" width="10.5703125" bestFit="1" customWidth="1"/>
    <col min="5" max="5" width="12" bestFit="1" customWidth="1"/>
    <col min="7" max="7" width="56.7109375" bestFit="1" customWidth="1"/>
    <col min="9" max="9" width="11.140625" bestFit="1" customWidth="1"/>
    <col min="10" max="10" width="18.5703125" customWidth="1"/>
  </cols>
  <sheetData>
    <row r="1" spans="1:10" ht="18.75" x14ac:dyDescent="0.3">
      <c r="A1" s="1" t="s">
        <v>0</v>
      </c>
      <c r="B1" s="395"/>
      <c r="C1" s="395"/>
      <c r="D1" s="395"/>
      <c r="E1" s="395"/>
      <c r="G1" s="407" t="s">
        <v>149</v>
      </c>
      <c r="H1" s="408"/>
      <c r="I1" s="408"/>
      <c r="J1" s="409"/>
    </row>
    <row r="2" spans="1:10" ht="16.5" thickBot="1" x14ac:dyDescent="0.3">
      <c r="A2" s="1" t="s">
        <v>1</v>
      </c>
      <c r="B2" s="395"/>
      <c r="C2" s="395"/>
      <c r="D2" s="395"/>
      <c r="E2" s="395"/>
      <c r="G2" s="410" t="s">
        <v>150</v>
      </c>
      <c r="H2" s="411"/>
      <c r="I2" s="411"/>
      <c r="J2" s="412"/>
    </row>
    <row r="3" spans="1:10" ht="15.75" x14ac:dyDescent="0.25">
      <c r="A3" s="2" t="s">
        <v>2</v>
      </c>
      <c r="B3" s="395"/>
      <c r="C3" s="395"/>
      <c r="D3" s="395"/>
      <c r="E3" s="395"/>
      <c r="G3" s="217" t="s">
        <v>0</v>
      </c>
      <c r="H3" s="413"/>
      <c r="I3" s="413"/>
      <c r="J3" s="414"/>
    </row>
    <row r="4" spans="1:10" ht="15.75" x14ac:dyDescent="0.25">
      <c r="A4" s="1" t="s">
        <v>3</v>
      </c>
      <c r="B4" s="404" t="s">
        <v>145</v>
      </c>
      <c r="C4" s="404"/>
      <c r="D4" s="404"/>
      <c r="E4" s="404"/>
      <c r="G4" s="218" t="s">
        <v>1</v>
      </c>
      <c r="H4" s="415"/>
      <c r="I4" s="415"/>
      <c r="J4" s="416"/>
    </row>
    <row r="5" spans="1:10" ht="15.75" x14ac:dyDescent="0.25">
      <c r="A5" s="1" t="s">
        <v>4</v>
      </c>
      <c r="B5" s="404" t="s">
        <v>5</v>
      </c>
      <c r="C5" s="404"/>
      <c r="D5" s="404"/>
      <c r="E5" s="404"/>
      <c r="G5" s="219" t="s">
        <v>151</v>
      </c>
      <c r="H5" s="417"/>
      <c r="I5" s="418"/>
      <c r="J5" s="419"/>
    </row>
    <row r="6" spans="1:10" ht="16.5" thickBot="1" x14ac:dyDescent="0.3">
      <c r="A6" s="2" t="s">
        <v>6</v>
      </c>
      <c r="B6" s="388" t="s">
        <v>7</v>
      </c>
      <c r="C6" s="388"/>
      <c r="D6" s="388"/>
      <c r="E6" s="388"/>
      <c r="G6" s="219" t="s">
        <v>152</v>
      </c>
      <c r="H6" s="417"/>
      <c r="I6" s="418"/>
      <c r="J6" s="419"/>
    </row>
    <row r="7" spans="1:10" ht="16.5" thickBot="1" x14ac:dyDescent="0.3">
      <c r="A7" s="3" t="s">
        <v>8</v>
      </c>
      <c r="B7" s="405"/>
      <c r="C7" s="405"/>
      <c r="D7" s="405"/>
      <c r="E7" s="406"/>
      <c r="G7" s="219" t="s">
        <v>153</v>
      </c>
      <c r="H7" s="417" t="s">
        <v>187</v>
      </c>
      <c r="I7" s="418"/>
      <c r="J7" s="419"/>
    </row>
    <row r="8" spans="1:10" ht="16.5" thickBot="1" x14ac:dyDescent="0.3">
      <c r="A8" s="4" t="s">
        <v>9</v>
      </c>
      <c r="B8" s="5" t="s">
        <v>10</v>
      </c>
      <c r="C8" s="5" t="s">
        <v>11</v>
      </c>
      <c r="D8" s="5" t="s">
        <v>12</v>
      </c>
      <c r="E8" s="6" t="s">
        <v>13</v>
      </c>
      <c r="G8" s="220" t="s">
        <v>154</v>
      </c>
      <c r="H8" s="420"/>
      <c r="I8" s="420"/>
      <c r="J8" s="421"/>
    </row>
    <row r="9" spans="1:10" ht="17.25" thickTop="1" thickBot="1" x14ac:dyDescent="0.3">
      <c r="A9" s="7" t="s">
        <v>146</v>
      </c>
      <c r="B9" s="8">
        <v>3</v>
      </c>
      <c r="C9" s="8">
        <v>20</v>
      </c>
      <c r="D9" s="8">
        <v>116</v>
      </c>
      <c r="E9" s="9">
        <f t="shared" ref="E9:E21" si="0">B9*C9*D9</f>
        <v>6960</v>
      </c>
      <c r="G9" s="221" t="s">
        <v>155</v>
      </c>
      <c r="H9" s="222" t="s">
        <v>156</v>
      </c>
      <c r="I9" s="222" t="s">
        <v>36</v>
      </c>
      <c r="J9" s="222" t="s">
        <v>37</v>
      </c>
    </row>
    <row r="10" spans="1:10" ht="16.5" thickTop="1" thickBot="1" x14ac:dyDescent="0.3">
      <c r="A10" s="7" t="s">
        <v>147</v>
      </c>
      <c r="B10" s="8">
        <v>3</v>
      </c>
      <c r="C10" s="8">
        <v>20</v>
      </c>
      <c r="D10" s="8">
        <v>50</v>
      </c>
      <c r="E10" s="9">
        <f t="shared" si="0"/>
        <v>3000</v>
      </c>
      <c r="G10" s="223" t="s">
        <v>157</v>
      </c>
      <c r="H10" s="224">
        <v>2</v>
      </c>
      <c r="I10" s="225">
        <v>120</v>
      </c>
      <c r="J10" s="226">
        <f>H10*I10</f>
        <v>240</v>
      </c>
    </row>
    <row r="11" spans="1:10" ht="15.75" thickTop="1" x14ac:dyDescent="0.25">
      <c r="A11" s="7" t="s">
        <v>148</v>
      </c>
      <c r="B11" s="8">
        <v>12</v>
      </c>
      <c r="C11" s="8">
        <v>9</v>
      </c>
      <c r="D11" s="8">
        <v>170</v>
      </c>
      <c r="E11" s="9">
        <f t="shared" si="0"/>
        <v>18360</v>
      </c>
      <c r="G11" s="37" t="s">
        <v>158</v>
      </c>
      <c r="H11" s="227">
        <v>0</v>
      </c>
      <c r="I11" s="228">
        <v>25</v>
      </c>
      <c r="J11" s="229">
        <f t="shared" ref="J11:J19" si="1">H11*I11</f>
        <v>0</v>
      </c>
    </row>
    <row r="12" spans="1:10" x14ac:dyDescent="0.25">
      <c r="A12" s="7"/>
      <c r="B12" s="8"/>
      <c r="C12" s="8"/>
      <c r="D12" s="8"/>
      <c r="E12" s="9">
        <f t="shared" si="0"/>
        <v>0</v>
      </c>
      <c r="G12" s="37" t="s">
        <v>159</v>
      </c>
      <c r="H12" s="227">
        <v>0</v>
      </c>
      <c r="I12" s="228">
        <v>35</v>
      </c>
      <c r="J12" s="229">
        <f t="shared" si="1"/>
        <v>0</v>
      </c>
    </row>
    <row r="13" spans="1:10" x14ac:dyDescent="0.25">
      <c r="A13" s="7"/>
      <c r="B13" s="8"/>
      <c r="C13" s="8"/>
      <c r="D13" s="8"/>
      <c r="E13" s="9">
        <f t="shared" si="0"/>
        <v>0</v>
      </c>
      <c r="G13" s="37" t="s">
        <v>160</v>
      </c>
      <c r="H13" s="227">
        <v>130</v>
      </c>
      <c r="I13" s="228">
        <v>32</v>
      </c>
      <c r="J13" s="229">
        <f t="shared" si="1"/>
        <v>4160</v>
      </c>
    </row>
    <row r="14" spans="1:10" x14ac:dyDescent="0.25">
      <c r="A14" s="7"/>
      <c r="B14" s="8"/>
      <c r="C14" s="8"/>
      <c r="D14" s="8"/>
      <c r="E14" s="9">
        <f t="shared" si="0"/>
        <v>0</v>
      </c>
      <c r="G14" s="230" t="s">
        <v>161</v>
      </c>
      <c r="H14" s="116">
        <v>0</v>
      </c>
      <c r="I14" s="231">
        <v>25</v>
      </c>
      <c r="J14" s="232">
        <f t="shared" si="1"/>
        <v>0</v>
      </c>
    </row>
    <row r="15" spans="1:10" ht="15.75" thickBot="1" x14ac:dyDescent="0.3">
      <c r="A15" s="7"/>
      <c r="B15" s="8"/>
      <c r="C15" s="8"/>
      <c r="D15" s="8"/>
      <c r="E15" s="9">
        <f t="shared" si="0"/>
        <v>0</v>
      </c>
      <c r="G15" s="35" t="s">
        <v>162</v>
      </c>
      <c r="H15" s="233">
        <v>0</v>
      </c>
      <c r="I15" s="234">
        <v>25</v>
      </c>
      <c r="J15" s="235">
        <f t="shared" si="1"/>
        <v>0</v>
      </c>
    </row>
    <row r="16" spans="1:10" x14ac:dyDescent="0.25">
      <c r="A16" s="7"/>
      <c r="B16" s="8"/>
      <c r="C16" s="8"/>
      <c r="D16" s="8"/>
      <c r="E16" s="9">
        <f t="shared" si="0"/>
        <v>0</v>
      </c>
      <c r="G16" s="236" t="s">
        <v>163</v>
      </c>
      <c r="H16" s="237">
        <v>1</v>
      </c>
      <c r="I16" s="228">
        <f>J37</f>
        <v>2346.7080000000001</v>
      </c>
      <c r="J16" s="229">
        <f t="shared" si="1"/>
        <v>2346.7080000000001</v>
      </c>
    </row>
    <row r="17" spans="1:10" x14ac:dyDescent="0.25">
      <c r="A17" s="7"/>
      <c r="B17" s="8"/>
      <c r="C17" s="8"/>
      <c r="D17" s="8"/>
      <c r="E17" s="9">
        <f t="shared" si="0"/>
        <v>0</v>
      </c>
      <c r="G17" s="238" t="s">
        <v>164</v>
      </c>
      <c r="H17" s="239">
        <v>1</v>
      </c>
      <c r="I17" s="231">
        <f>J38</f>
        <v>446.99200000000008</v>
      </c>
      <c r="J17" s="232">
        <f t="shared" si="1"/>
        <v>446.99200000000008</v>
      </c>
    </row>
    <row r="18" spans="1:10" x14ac:dyDescent="0.25">
      <c r="A18" s="7"/>
      <c r="B18" s="8"/>
      <c r="C18" s="8"/>
      <c r="D18" s="8"/>
      <c r="E18" s="9">
        <f t="shared" si="0"/>
        <v>0</v>
      </c>
      <c r="G18" s="238" t="s">
        <v>164</v>
      </c>
      <c r="H18" s="239">
        <v>1</v>
      </c>
      <c r="I18" s="231">
        <f>J39</f>
        <v>0</v>
      </c>
      <c r="J18" s="232">
        <f t="shared" si="1"/>
        <v>0</v>
      </c>
    </row>
    <row r="19" spans="1:10" ht="15.75" thickBot="1" x14ac:dyDescent="0.3">
      <c r="A19" s="7"/>
      <c r="B19" s="8"/>
      <c r="C19" s="8"/>
      <c r="D19" s="8"/>
      <c r="E19" s="9">
        <f t="shared" si="0"/>
        <v>0</v>
      </c>
      <c r="G19" s="240" t="s">
        <v>165</v>
      </c>
      <c r="H19" s="241">
        <v>1</v>
      </c>
      <c r="I19" s="242">
        <f>J40</f>
        <v>0</v>
      </c>
      <c r="J19" s="243">
        <f t="shared" si="1"/>
        <v>0</v>
      </c>
    </row>
    <row r="20" spans="1:10" ht="15.75" thickBot="1" x14ac:dyDescent="0.3">
      <c r="A20" s="7"/>
      <c r="B20" s="8"/>
      <c r="C20" s="8"/>
      <c r="D20" s="8"/>
      <c r="E20" s="9">
        <f t="shared" si="0"/>
        <v>0</v>
      </c>
      <c r="G20" s="244" t="s">
        <v>166</v>
      </c>
      <c r="H20" s="245">
        <f>SUM(H11:H15)</f>
        <v>130</v>
      </c>
      <c r="I20" s="244"/>
      <c r="J20" s="246">
        <f>SUM(J10:J19)</f>
        <v>7193.7000000000007</v>
      </c>
    </row>
    <row r="21" spans="1:10" ht="17.25" thickTop="1" thickBot="1" x14ac:dyDescent="0.3">
      <c r="A21" s="10"/>
      <c r="B21" s="11"/>
      <c r="C21" s="11"/>
      <c r="D21" s="11"/>
      <c r="E21" s="12">
        <f t="shared" si="0"/>
        <v>0</v>
      </c>
      <c r="G21" s="422" t="s">
        <v>167</v>
      </c>
      <c r="H21" s="423"/>
      <c r="I21" s="423"/>
      <c r="J21" s="424"/>
    </row>
    <row r="22" spans="1:10" ht="15.75" thickTop="1" x14ac:dyDescent="0.25">
      <c r="A22" s="13" t="s">
        <v>14</v>
      </c>
      <c r="B22" s="14"/>
      <c r="C22" s="14"/>
      <c r="D22" s="14"/>
      <c r="E22" s="15">
        <f>SUM(E9:E21)</f>
        <v>28320</v>
      </c>
      <c r="G22" s="37" t="s">
        <v>168</v>
      </c>
      <c r="H22" s="247">
        <v>1</v>
      </c>
      <c r="I22" s="248">
        <v>150</v>
      </c>
      <c r="J22" s="229">
        <f>H22*I22</f>
        <v>150</v>
      </c>
    </row>
    <row r="23" spans="1:10" ht="15.75" thickBot="1" x14ac:dyDescent="0.3">
      <c r="A23" s="16" t="s">
        <v>15</v>
      </c>
      <c r="B23" s="16">
        <v>1728</v>
      </c>
      <c r="C23" s="16"/>
      <c r="D23" s="16"/>
      <c r="E23" s="17">
        <f>E22/B23</f>
        <v>16.388888888888889</v>
      </c>
      <c r="G23" s="230" t="s">
        <v>169</v>
      </c>
      <c r="H23" s="249">
        <f>H20</f>
        <v>130</v>
      </c>
      <c r="I23" s="231">
        <v>2</v>
      </c>
      <c r="J23" s="232">
        <f>SUM(H23*I23)*1.42</f>
        <v>369.2</v>
      </c>
    </row>
    <row r="24" spans="1:10" ht="15.75" thickBot="1" x14ac:dyDescent="0.3">
      <c r="A24" s="16" t="s">
        <v>16</v>
      </c>
      <c r="B24" s="16"/>
      <c r="C24" s="16"/>
      <c r="D24" s="18"/>
      <c r="E24" s="19">
        <v>65</v>
      </c>
      <c r="G24" s="250" t="s">
        <v>170</v>
      </c>
      <c r="H24" s="251">
        <v>2</v>
      </c>
      <c r="I24" s="252">
        <v>100</v>
      </c>
      <c r="J24" s="252">
        <f>H24*I24</f>
        <v>200</v>
      </c>
    </row>
    <row r="25" spans="1:10" ht="15.75" thickBot="1" x14ac:dyDescent="0.3">
      <c r="A25" s="16" t="s">
        <v>17</v>
      </c>
      <c r="B25" s="20"/>
      <c r="C25" s="16"/>
      <c r="D25" s="16"/>
      <c r="E25" s="21">
        <f>E23*E24</f>
        <v>1065.2777777777778</v>
      </c>
      <c r="G25" s="37" t="s">
        <v>171</v>
      </c>
      <c r="H25" s="37"/>
      <c r="I25" s="37"/>
      <c r="J25" s="253">
        <f>SUM(J22:J24)</f>
        <v>719.2</v>
      </c>
    </row>
    <row r="26" spans="1:10" ht="15.75" thickBot="1" x14ac:dyDescent="0.3">
      <c r="A26" s="18" t="s">
        <v>18</v>
      </c>
      <c r="B26" s="22">
        <v>0.3</v>
      </c>
      <c r="C26" s="23"/>
      <c r="D26" s="16"/>
      <c r="E26" s="24">
        <f>E25*B26</f>
        <v>319.58333333333331</v>
      </c>
      <c r="G26" s="230" t="s">
        <v>172</v>
      </c>
      <c r="H26" s="230"/>
      <c r="I26" s="230"/>
      <c r="J26" s="254">
        <f>J25*1.05</f>
        <v>755.16000000000008</v>
      </c>
    </row>
    <row r="27" spans="1:10" ht="15.75" thickBot="1" x14ac:dyDescent="0.3">
      <c r="A27" s="16" t="s">
        <v>19</v>
      </c>
      <c r="B27" s="13"/>
      <c r="C27" s="16"/>
      <c r="D27" s="16"/>
      <c r="E27" s="24">
        <f>SUM(E25:E26)</f>
        <v>1384.8611111111111</v>
      </c>
      <c r="G27" s="244" t="s">
        <v>173</v>
      </c>
      <c r="H27" s="255"/>
      <c r="I27" s="255"/>
      <c r="J27" s="256">
        <f>J26*1.27</f>
        <v>959.05320000000006</v>
      </c>
    </row>
    <row r="28" spans="1:10" ht="16.5" thickTop="1" thickBot="1" x14ac:dyDescent="0.3">
      <c r="A28" s="25" t="s">
        <v>20</v>
      </c>
      <c r="B28" s="25"/>
      <c r="C28" s="25"/>
      <c r="D28" s="25"/>
      <c r="E28" s="26">
        <f>E27*1.0725</f>
        <v>1485.2635416666667</v>
      </c>
      <c r="G28" s="257" t="s">
        <v>174</v>
      </c>
      <c r="H28" s="37"/>
      <c r="I28" s="37"/>
      <c r="J28" s="258">
        <f>J20+J27</f>
        <v>8152.753200000001</v>
      </c>
    </row>
    <row r="29" spans="1:10" ht="16.5" thickTop="1" thickBot="1" x14ac:dyDescent="0.3">
      <c r="A29" s="16" t="s">
        <v>21</v>
      </c>
      <c r="B29" s="27">
        <v>12</v>
      </c>
      <c r="C29" s="28">
        <v>130</v>
      </c>
      <c r="D29" s="29">
        <f>B29*C29</f>
        <v>1560</v>
      </c>
      <c r="E29" s="18"/>
      <c r="G29" s="259" t="s">
        <v>175</v>
      </c>
      <c r="I29" s="260">
        <v>0.1</v>
      </c>
      <c r="J29" s="261">
        <f>J28*I29</f>
        <v>815.27532000000019</v>
      </c>
    </row>
    <row r="30" spans="1:10" ht="19.5" thickBot="1" x14ac:dyDescent="0.35">
      <c r="A30" s="16" t="s">
        <v>22</v>
      </c>
      <c r="B30" s="27">
        <v>1</v>
      </c>
      <c r="C30" s="28">
        <v>700</v>
      </c>
      <c r="D30" s="29">
        <f>B30*C30</f>
        <v>700</v>
      </c>
      <c r="E30" s="18"/>
      <c r="G30" s="425" t="s">
        <v>176</v>
      </c>
      <c r="H30" s="426"/>
      <c r="I30" s="427"/>
      <c r="J30" s="262">
        <f>SUM(J28:J29)</f>
        <v>8968.0285200000017</v>
      </c>
    </row>
    <row r="31" spans="1:10" x14ac:dyDescent="0.25">
      <c r="A31" s="16" t="s">
        <v>23</v>
      </c>
      <c r="B31" s="27">
        <v>16</v>
      </c>
      <c r="C31" s="28">
        <v>70</v>
      </c>
      <c r="D31" s="29">
        <f>B31*C31</f>
        <v>1120</v>
      </c>
      <c r="E31" s="18"/>
      <c r="G31" s="428" t="s">
        <v>177</v>
      </c>
      <c r="H31" s="429"/>
      <c r="I31" s="430"/>
      <c r="J31" s="263">
        <f>J30/H23</f>
        <v>68.984834769230787</v>
      </c>
    </row>
    <row r="32" spans="1:10" ht="16.5" thickBot="1" x14ac:dyDescent="0.3">
      <c r="A32" s="16" t="s">
        <v>24</v>
      </c>
      <c r="B32" s="27">
        <v>0</v>
      </c>
      <c r="C32" s="28">
        <v>400</v>
      </c>
      <c r="D32" s="29">
        <f>B32*C32</f>
        <v>0</v>
      </c>
      <c r="E32" s="18"/>
      <c r="G32" s="431" t="s">
        <v>178</v>
      </c>
      <c r="H32" s="432"/>
    </row>
    <row r="33" spans="1:10" ht="15.75" thickBot="1" x14ac:dyDescent="0.3">
      <c r="A33" s="25" t="s">
        <v>25</v>
      </c>
      <c r="B33" s="30">
        <v>2</v>
      </c>
      <c r="C33" s="31">
        <v>100</v>
      </c>
      <c r="D33" s="32">
        <f>B33*C33</f>
        <v>200</v>
      </c>
      <c r="E33" s="12"/>
      <c r="G33" s="56" t="s">
        <v>179</v>
      </c>
      <c r="H33" s="264">
        <f>H20+H15</f>
        <v>130</v>
      </c>
    </row>
    <row r="34" spans="1:10" ht="16.5" thickTop="1" thickBot="1" x14ac:dyDescent="0.3">
      <c r="A34" s="33" t="s">
        <v>26</v>
      </c>
      <c r="B34" s="33"/>
      <c r="C34" s="34"/>
      <c r="D34" s="35"/>
      <c r="E34" s="36">
        <f>SUM(D29:D33)</f>
        <v>3580</v>
      </c>
      <c r="G34" s="265" t="s">
        <v>180</v>
      </c>
      <c r="H34" s="266">
        <f>H23*I23</f>
        <v>260</v>
      </c>
    </row>
    <row r="35" spans="1:10" ht="15.75" thickBot="1" x14ac:dyDescent="0.3">
      <c r="A35" s="13" t="s">
        <v>27</v>
      </c>
      <c r="B35" s="13"/>
      <c r="C35" s="13"/>
      <c r="D35" s="37"/>
      <c r="E35" s="38">
        <v>25</v>
      </c>
      <c r="G35" s="433" t="s">
        <v>181</v>
      </c>
      <c r="H35" s="434"/>
      <c r="I35" s="434"/>
      <c r="J35" s="435"/>
    </row>
    <row r="36" spans="1:10" ht="15.75" thickBot="1" x14ac:dyDescent="0.3">
      <c r="A36" s="16" t="s">
        <v>28</v>
      </c>
      <c r="B36" s="16"/>
      <c r="C36" s="16"/>
      <c r="D36" s="29"/>
      <c r="E36" s="39">
        <f>E28+E34+E35</f>
        <v>5090.2635416666672</v>
      </c>
      <c r="G36" s="267" t="s">
        <v>182</v>
      </c>
      <c r="H36" s="267" t="s">
        <v>156</v>
      </c>
      <c r="I36" s="267" t="s">
        <v>36</v>
      </c>
      <c r="J36" s="267" t="s">
        <v>183</v>
      </c>
    </row>
    <row r="37" spans="1:10" ht="16.5" thickTop="1" thickBot="1" x14ac:dyDescent="0.3">
      <c r="A37" s="9" t="s">
        <v>29</v>
      </c>
      <c r="B37" s="40">
        <v>0.27</v>
      </c>
      <c r="C37" s="41"/>
      <c r="D37" s="42"/>
      <c r="E37" s="21">
        <f>E36*B37</f>
        <v>1374.3711562500002</v>
      </c>
      <c r="G37" s="236" t="s">
        <v>184</v>
      </c>
      <c r="H37" s="268">
        <v>140</v>
      </c>
      <c r="I37" s="248">
        <v>12</v>
      </c>
      <c r="J37" s="269">
        <f>SUM(H37*I37*1.0745)*1.3</f>
        <v>2346.7080000000001</v>
      </c>
    </row>
    <row r="38" spans="1:10" x14ac:dyDescent="0.25">
      <c r="A38" s="16" t="s">
        <v>30</v>
      </c>
      <c r="B38" s="43"/>
      <c r="C38" s="16"/>
      <c r="D38" s="29"/>
      <c r="E38" s="24">
        <f>SUM(E36:E37)</f>
        <v>6464.6346979166674</v>
      </c>
      <c r="G38" s="270" t="s">
        <v>188</v>
      </c>
      <c r="H38" s="271">
        <v>20</v>
      </c>
      <c r="I38" s="272">
        <v>16</v>
      </c>
      <c r="J38" s="269">
        <f t="shared" ref="J38:J39" si="2">SUM(H38*I38*1.0745)*1.3</f>
        <v>446.99200000000008</v>
      </c>
    </row>
    <row r="39" spans="1:10" x14ac:dyDescent="0.25">
      <c r="A39" s="16" t="s">
        <v>31</v>
      </c>
      <c r="B39" s="44">
        <v>0.15</v>
      </c>
      <c r="C39" s="16"/>
      <c r="D39" s="16"/>
      <c r="E39" s="24">
        <f>E38*B39</f>
        <v>969.69520468750011</v>
      </c>
      <c r="G39" s="270" t="s">
        <v>185</v>
      </c>
      <c r="H39" s="271">
        <v>0</v>
      </c>
      <c r="I39" s="272">
        <v>50</v>
      </c>
      <c r="J39" s="269">
        <f t="shared" si="2"/>
        <v>0</v>
      </c>
    </row>
    <row r="40" spans="1:10" x14ac:dyDescent="0.25">
      <c r="A40" s="45" t="s">
        <v>32</v>
      </c>
      <c r="B40" s="45"/>
      <c r="C40" s="45"/>
      <c r="D40" s="45"/>
      <c r="E40" s="46">
        <f>SUM(E38:E39)</f>
        <v>7434.3299026041677</v>
      </c>
      <c r="G40" s="270" t="s">
        <v>186</v>
      </c>
      <c r="H40" s="271">
        <v>1</v>
      </c>
      <c r="I40" s="272">
        <v>0</v>
      </c>
      <c r="J40" s="269">
        <f t="shared" ref="J40" si="3">SUM(H40*I40*1.0745)*1.3</f>
        <v>0</v>
      </c>
    </row>
    <row r="41" spans="1:10" ht="15.75" thickBot="1" x14ac:dyDescent="0.3">
      <c r="A41" s="20" t="s">
        <v>33</v>
      </c>
      <c r="B41" s="47">
        <f>E40/E23</f>
        <v>453.62012965042379</v>
      </c>
    </row>
    <row r="42" spans="1:10" ht="15.75" thickBot="1" x14ac:dyDescent="0.3">
      <c r="A42" s="48" t="s">
        <v>34</v>
      </c>
      <c r="B42" s="49" t="s">
        <v>35</v>
      </c>
      <c r="C42" s="49" t="s">
        <v>36</v>
      </c>
      <c r="D42" s="50" t="s">
        <v>37</v>
      </c>
    </row>
    <row r="43" spans="1:10" ht="15.75" thickBot="1" x14ac:dyDescent="0.3">
      <c r="A43" s="51" t="s">
        <v>38</v>
      </c>
      <c r="B43" s="52">
        <v>2</v>
      </c>
      <c r="C43" s="53">
        <v>125</v>
      </c>
      <c r="D43" s="54">
        <f>B43*C43</f>
        <v>250</v>
      </c>
    </row>
    <row r="44" spans="1:10" ht="15.75" thickTop="1" x14ac:dyDescent="0.25">
      <c r="A44" s="55" t="s">
        <v>39</v>
      </c>
      <c r="B44" s="56">
        <v>12</v>
      </c>
      <c r="C44" s="57">
        <v>65</v>
      </c>
      <c r="D44" s="58">
        <f>B44*C44</f>
        <v>780</v>
      </c>
    </row>
    <row r="45" spans="1:10" x14ac:dyDescent="0.25">
      <c r="A45" s="59" t="s">
        <v>40</v>
      </c>
      <c r="B45" s="60">
        <v>16</v>
      </c>
      <c r="C45" s="61">
        <v>65</v>
      </c>
      <c r="D45" s="62">
        <f>B45*C45</f>
        <v>1040</v>
      </c>
    </row>
    <row r="46" spans="1:10" x14ac:dyDescent="0.25">
      <c r="A46" s="59" t="s">
        <v>41</v>
      </c>
      <c r="B46" s="60">
        <v>1</v>
      </c>
      <c r="C46" s="61">
        <v>65</v>
      </c>
      <c r="D46" s="62">
        <f>B46*C46</f>
        <v>65</v>
      </c>
    </row>
    <row r="47" spans="1:10" ht="15.75" thickBot="1" x14ac:dyDescent="0.3">
      <c r="A47" s="63" t="s">
        <v>42</v>
      </c>
      <c r="B47" s="64">
        <v>1</v>
      </c>
      <c r="C47" s="65">
        <v>150</v>
      </c>
      <c r="D47" s="66">
        <f>B47*C47</f>
        <v>150</v>
      </c>
    </row>
    <row r="48" spans="1:10" ht="15.75" thickTop="1" x14ac:dyDescent="0.25">
      <c r="A48" s="67" t="s">
        <v>43</v>
      </c>
      <c r="B48" s="68"/>
      <c r="C48" s="68"/>
      <c r="D48" s="69">
        <f>SUM(D43:D47)</f>
        <v>2285</v>
      </c>
    </row>
    <row r="50" spans="1:5" ht="15.75" x14ac:dyDescent="0.25">
      <c r="A50" s="1" t="s">
        <v>0</v>
      </c>
      <c r="B50" s="395"/>
      <c r="C50" s="395"/>
      <c r="D50" s="395"/>
      <c r="E50" s="395"/>
    </row>
    <row r="51" spans="1:5" ht="15.75" x14ac:dyDescent="0.25">
      <c r="A51" s="1" t="s">
        <v>1</v>
      </c>
      <c r="B51" s="395"/>
      <c r="C51" s="395"/>
      <c r="D51" s="395"/>
      <c r="E51" s="395"/>
    </row>
    <row r="52" spans="1:5" ht="15.75" x14ac:dyDescent="0.25">
      <c r="A52" s="2" t="s">
        <v>2</v>
      </c>
      <c r="B52" s="395"/>
      <c r="C52" s="395"/>
      <c r="D52" s="395"/>
      <c r="E52" s="395"/>
    </row>
    <row r="53" spans="1:5" ht="15.75" x14ac:dyDescent="0.25">
      <c r="A53" s="1" t="s">
        <v>3</v>
      </c>
      <c r="B53" s="404" t="s">
        <v>231</v>
      </c>
      <c r="C53" s="404"/>
      <c r="D53" s="404"/>
      <c r="E53" s="404"/>
    </row>
    <row r="54" spans="1:5" ht="15.75" x14ac:dyDescent="0.25">
      <c r="A54" s="1" t="s">
        <v>4</v>
      </c>
      <c r="B54" s="404" t="s">
        <v>227</v>
      </c>
      <c r="C54" s="404"/>
      <c r="D54" s="404"/>
      <c r="E54" s="404"/>
    </row>
    <row r="55" spans="1:5" ht="16.5" thickBot="1" x14ac:dyDescent="0.3">
      <c r="A55" s="2" t="s">
        <v>6</v>
      </c>
      <c r="B55" s="388" t="s">
        <v>7</v>
      </c>
      <c r="C55" s="388"/>
      <c r="D55" s="388"/>
      <c r="E55" s="388"/>
    </row>
    <row r="56" spans="1:5" ht="16.5" thickBot="1" x14ac:dyDescent="0.3">
      <c r="A56" s="3" t="s">
        <v>8</v>
      </c>
      <c r="B56" s="405"/>
      <c r="C56" s="405"/>
      <c r="D56" s="405"/>
      <c r="E56" s="406"/>
    </row>
    <row r="57" spans="1:5" ht="15.75" thickBot="1" x14ac:dyDescent="0.3">
      <c r="A57" s="4" t="s">
        <v>9</v>
      </c>
      <c r="B57" s="5" t="s">
        <v>10</v>
      </c>
      <c r="C57" s="5" t="s">
        <v>11</v>
      </c>
      <c r="D57" s="5" t="s">
        <v>12</v>
      </c>
      <c r="E57" s="6" t="s">
        <v>13</v>
      </c>
    </row>
    <row r="58" spans="1:5" ht="15.75" thickTop="1" x14ac:dyDescent="0.25">
      <c r="A58" s="7" t="s">
        <v>146</v>
      </c>
      <c r="B58" s="8">
        <v>3</v>
      </c>
      <c r="C58" s="8">
        <v>20</v>
      </c>
      <c r="D58" s="8">
        <v>80</v>
      </c>
      <c r="E58" s="9">
        <f t="shared" ref="E58:E64" si="4">B58*C58*D58</f>
        <v>4800</v>
      </c>
    </row>
    <row r="59" spans="1:5" x14ac:dyDescent="0.25">
      <c r="A59" s="7" t="s">
        <v>232</v>
      </c>
      <c r="B59" s="8">
        <v>8</v>
      </c>
      <c r="C59" s="8">
        <v>8</v>
      </c>
      <c r="D59" s="8">
        <v>40</v>
      </c>
      <c r="E59" s="9">
        <f t="shared" si="4"/>
        <v>2560</v>
      </c>
    </row>
    <row r="60" spans="1:5" x14ac:dyDescent="0.25">
      <c r="A60" s="7" t="s">
        <v>232</v>
      </c>
      <c r="B60" s="8">
        <v>8</v>
      </c>
      <c r="C60" s="8">
        <v>8</v>
      </c>
      <c r="D60" s="8">
        <v>40</v>
      </c>
      <c r="E60" s="9">
        <f t="shared" si="4"/>
        <v>2560</v>
      </c>
    </row>
    <row r="61" spans="1:5" x14ac:dyDescent="0.25">
      <c r="A61" s="7" t="s">
        <v>233</v>
      </c>
      <c r="B61" s="8">
        <v>20</v>
      </c>
      <c r="C61" s="8">
        <v>8</v>
      </c>
      <c r="D61" s="8">
        <v>70</v>
      </c>
      <c r="E61" s="9">
        <f t="shared" si="4"/>
        <v>11200</v>
      </c>
    </row>
    <row r="62" spans="1:5" x14ac:dyDescent="0.25">
      <c r="A62" s="7" t="s">
        <v>234</v>
      </c>
      <c r="B62" s="8">
        <v>5</v>
      </c>
      <c r="C62" s="8">
        <v>12</v>
      </c>
      <c r="D62" s="8">
        <v>80</v>
      </c>
      <c r="E62" s="9">
        <f t="shared" si="4"/>
        <v>4800</v>
      </c>
    </row>
    <row r="63" spans="1:5" x14ac:dyDescent="0.25">
      <c r="A63" s="7"/>
      <c r="B63" s="8"/>
      <c r="C63" s="8"/>
      <c r="D63" s="8"/>
      <c r="E63" s="9">
        <f t="shared" si="4"/>
        <v>0</v>
      </c>
    </row>
    <row r="64" spans="1:5" ht="15.75" thickBot="1" x14ac:dyDescent="0.3">
      <c r="A64" s="10"/>
      <c r="B64" s="11"/>
      <c r="C64" s="11"/>
      <c r="D64" s="11"/>
      <c r="E64" s="12">
        <f t="shared" si="4"/>
        <v>0</v>
      </c>
    </row>
    <row r="65" spans="1:5" ht="15.75" thickTop="1" x14ac:dyDescent="0.25">
      <c r="A65" s="13" t="s">
        <v>14</v>
      </c>
      <c r="B65" s="14"/>
      <c r="C65" s="14"/>
      <c r="D65" s="14"/>
      <c r="E65" s="15">
        <f>SUM(E58:E64)</f>
        <v>25920</v>
      </c>
    </row>
    <row r="66" spans="1:5" ht="15.75" thickBot="1" x14ac:dyDescent="0.3">
      <c r="A66" s="16" t="s">
        <v>15</v>
      </c>
      <c r="B66" s="16">
        <v>1728</v>
      </c>
      <c r="C66" s="16"/>
      <c r="D66" s="16"/>
      <c r="E66" s="17">
        <f>E65/B66</f>
        <v>15</v>
      </c>
    </row>
    <row r="67" spans="1:5" ht="15.75" thickBot="1" x14ac:dyDescent="0.3">
      <c r="A67" s="16" t="s">
        <v>16</v>
      </c>
      <c r="B67" s="16"/>
      <c r="C67" s="16"/>
      <c r="D67" s="18"/>
      <c r="E67" s="19">
        <v>65</v>
      </c>
    </row>
    <row r="68" spans="1:5" ht="15.75" thickBot="1" x14ac:dyDescent="0.3">
      <c r="A68" s="16" t="s">
        <v>17</v>
      </c>
      <c r="B68" s="20"/>
      <c r="C68" s="16"/>
      <c r="D68" s="16"/>
      <c r="E68" s="21">
        <f>E66*E67</f>
        <v>975</v>
      </c>
    </row>
    <row r="69" spans="1:5" ht="15.75" thickBot="1" x14ac:dyDescent="0.3">
      <c r="A69" s="18" t="s">
        <v>18</v>
      </c>
      <c r="B69" s="22">
        <v>0.3</v>
      </c>
      <c r="C69" s="23"/>
      <c r="D69" s="16"/>
      <c r="E69" s="24">
        <f>E68*B69</f>
        <v>292.5</v>
      </c>
    </row>
    <row r="70" spans="1:5" x14ac:dyDescent="0.25">
      <c r="A70" s="16" t="s">
        <v>19</v>
      </c>
      <c r="B70" s="13"/>
      <c r="C70" s="16"/>
      <c r="D70" s="16"/>
      <c r="E70" s="24">
        <f>SUM(E68:E69)</f>
        <v>1267.5</v>
      </c>
    </row>
    <row r="71" spans="1:5" ht="15.75" thickBot="1" x14ac:dyDescent="0.3">
      <c r="A71" s="25" t="s">
        <v>20</v>
      </c>
      <c r="B71" s="25"/>
      <c r="C71" s="25"/>
      <c r="D71" s="25"/>
      <c r="E71" s="26">
        <f>E70*1.0725</f>
        <v>1359.39375</v>
      </c>
    </row>
    <row r="72" spans="1:5" ht="15.75" thickTop="1" x14ac:dyDescent="0.25">
      <c r="A72" s="16" t="s">
        <v>21</v>
      </c>
      <c r="B72" s="27">
        <v>12</v>
      </c>
      <c r="C72" s="28">
        <v>130</v>
      </c>
      <c r="D72" s="29">
        <f>B72*C72</f>
        <v>1560</v>
      </c>
      <c r="E72" s="18"/>
    </row>
    <row r="73" spans="1:5" x14ac:dyDescent="0.25">
      <c r="A73" s="16" t="s">
        <v>22</v>
      </c>
      <c r="B73" s="27">
        <v>2</v>
      </c>
      <c r="C73" s="28">
        <v>700</v>
      </c>
      <c r="D73" s="29">
        <f>B73*C73</f>
        <v>1400</v>
      </c>
      <c r="E73" s="18"/>
    </row>
    <row r="74" spans="1:5" x14ac:dyDescent="0.25">
      <c r="A74" s="16" t="s">
        <v>23</v>
      </c>
      <c r="B74" s="27">
        <v>20</v>
      </c>
      <c r="C74" s="28">
        <v>70</v>
      </c>
      <c r="D74" s="29">
        <f>B74*C74</f>
        <v>1400</v>
      </c>
      <c r="E74" s="18"/>
    </row>
    <row r="75" spans="1:5" x14ac:dyDescent="0.25">
      <c r="A75" s="16" t="s">
        <v>24</v>
      </c>
      <c r="B75" s="27">
        <v>0</v>
      </c>
      <c r="C75" s="28">
        <v>400</v>
      </c>
      <c r="D75" s="29">
        <f>B75*C75</f>
        <v>0</v>
      </c>
      <c r="E75" s="18"/>
    </row>
    <row r="76" spans="1:5" ht="15.75" thickBot="1" x14ac:dyDescent="0.3">
      <c r="A76" s="25" t="s">
        <v>25</v>
      </c>
      <c r="B76" s="30">
        <v>3</v>
      </c>
      <c r="C76" s="31">
        <v>100</v>
      </c>
      <c r="D76" s="32">
        <f>B76*C76</f>
        <v>300</v>
      </c>
      <c r="E76" s="12"/>
    </row>
    <row r="77" spans="1:5" ht="16.5" thickTop="1" thickBot="1" x14ac:dyDescent="0.3">
      <c r="A77" s="33" t="s">
        <v>26</v>
      </c>
      <c r="B77" s="33"/>
      <c r="C77" s="34"/>
      <c r="D77" s="35"/>
      <c r="E77" s="36">
        <f>SUM(D72:D76)</f>
        <v>4660</v>
      </c>
    </row>
    <row r="78" spans="1:5" x14ac:dyDescent="0.25">
      <c r="A78" s="13" t="s">
        <v>27</v>
      </c>
      <c r="B78" s="13"/>
      <c r="C78" s="13"/>
      <c r="D78" s="37"/>
      <c r="E78" s="38">
        <v>25</v>
      </c>
    </row>
    <row r="79" spans="1:5" x14ac:dyDescent="0.25">
      <c r="A79" s="16" t="s">
        <v>28</v>
      </c>
      <c r="B79" s="16"/>
      <c r="C79" s="16"/>
      <c r="D79" s="29"/>
      <c r="E79" s="39">
        <f>E71+E77+E78</f>
        <v>6044.3937500000002</v>
      </c>
    </row>
    <row r="80" spans="1:5" ht="15.75" thickBot="1" x14ac:dyDescent="0.3">
      <c r="A80" s="9" t="s">
        <v>29</v>
      </c>
      <c r="B80" s="40">
        <v>0.27</v>
      </c>
      <c r="C80" s="41"/>
      <c r="D80" s="42"/>
      <c r="E80" s="21">
        <f>E79*B80</f>
        <v>1631.9863125000002</v>
      </c>
    </row>
    <row r="81" spans="1:5" x14ac:dyDescent="0.25">
      <c r="A81" s="16" t="s">
        <v>30</v>
      </c>
      <c r="B81" s="43"/>
      <c r="C81" s="16"/>
      <c r="D81" s="29"/>
      <c r="E81" s="24">
        <f>SUM(E79:E80)</f>
        <v>7676.3800625000003</v>
      </c>
    </row>
    <row r="82" spans="1:5" x14ac:dyDescent="0.25">
      <c r="A82" s="16" t="s">
        <v>31</v>
      </c>
      <c r="B82" s="44">
        <v>0.15</v>
      </c>
      <c r="C82" s="16"/>
      <c r="D82" s="16"/>
      <c r="E82" s="24">
        <f>E81*B82</f>
        <v>1151.4570093750001</v>
      </c>
    </row>
    <row r="83" spans="1:5" x14ac:dyDescent="0.25">
      <c r="A83" s="45" t="s">
        <v>32</v>
      </c>
      <c r="B83" s="45"/>
      <c r="C83" s="45"/>
      <c r="D83" s="45"/>
      <c r="E83" s="46">
        <f>SUM(E81:E82)</f>
        <v>8827.8370718750011</v>
      </c>
    </row>
    <row r="84" spans="1:5" ht="15.75" thickBot="1" x14ac:dyDescent="0.3">
      <c r="A84" s="20" t="s">
        <v>33</v>
      </c>
      <c r="B84" s="47">
        <f>E83/E66</f>
        <v>588.52247145833337</v>
      </c>
    </row>
    <row r="85" spans="1:5" ht="15.75" thickBot="1" x14ac:dyDescent="0.3">
      <c r="A85" s="48" t="s">
        <v>34</v>
      </c>
      <c r="B85" s="49" t="s">
        <v>35</v>
      </c>
      <c r="C85" s="49" t="s">
        <v>36</v>
      </c>
      <c r="D85" s="50" t="s">
        <v>37</v>
      </c>
    </row>
    <row r="86" spans="1:5" ht="15.75" thickBot="1" x14ac:dyDescent="0.3">
      <c r="A86" s="51" t="s">
        <v>38</v>
      </c>
      <c r="B86" s="52">
        <v>2</v>
      </c>
      <c r="C86" s="53">
        <v>125</v>
      </c>
      <c r="D86" s="54">
        <f>B86*C86</f>
        <v>250</v>
      </c>
    </row>
    <row r="87" spans="1:5" ht="15.75" thickTop="1" x14ac:dyDescent="0.25">
      <c r="A87" s="55" t="s">
        <v>39</v>
      </c>
      <c r="B87" s="56">
        <v>12</v>
      </c>
      <c r="C87" s="57">
        <v>65</v>
      </c>
      <c r="D87" s="58">
        <f>B87*C87</f>
        <v>780</v>
      </c>
    </row>
    <row r="88" spans="1:5" x14ac:dyDescent="0.25">
      <c r="A88" s="59" t="s">
        <v>40</v>
      </c>
      <c r="B88" s="60">
        <v>16</v>
      </c>
      <c r="C88" s="61">
        <v>65</v>
      </c>
      <c r="D88" s="62">
        <f>B88*C88</f>
        <v>1040</v>
      </c>
    </row>
    <row r="89" spans="1:5" x14ac:dyDescent="0.25">
      <c r="A89" s="59" t="s">
        <v>41</v>
      </c>
      <c r="B89" s="60">
        <v>1</v>
      </c>
      <c r="C89" s="61">
        <v>65</v>
      </c>
      <c r="D89" s="62">
        <f>B89*C89</f>
        <v>65</v>
      </c>
    </row>
    <row r="90" spans="1:5" ht="15.75" thickBot="1" x14ac:dyDescent="0.3">
      <c r="A90" s="63" t="s">
        <v>42</v>
      </c>
      <c r="B90" s="64">
        <v>1</v>
      </c>
      <c r="C90" s="65">
        <v>150</v>
      </c>
      <c r="D90" s="66">
        <f>B90*C90</f>
        <v>150</v>
      </c>
    </row>
    <row r="91" spans="1:5" ht="15.75" thickTop="1" x14ac:dyDescent="0.25">
      <c r="A91" s="67" t="s">
        <v>43</v>
      </c>
      <c r="B91" s="68"/>
      <c r="C91" s="68"/>
      <c r="D91" s="69">
        <f>SUM(D86:D90)</f>
        <v>2285</v>
      </c>
    </row>
  </sheetData>
  <mergeCells count="27">
    <mergeCell ref="B52:E52"/>
    <mergeCell ref="B53:E53"/>
    <mergeCell ref="B54:E54"/>
    <mergeCell ref="B55:E55"/>
    <mergeCell ref="B56:E56"/>
    <mergeCell ref="G31:I31"/>
    <mergeCell ref="G32:H32"/>
    <mergeCell ref="G35:J35"/>
    <mergeCell ref="B50:E50"/>
    <mergeCell ref="B51:E51"/>
    <mergeCell ref="H6:J6"/>
    <mergeCell ref="H7:J7"/>
    <mergeCell ref="H8:J8"/>
    <mergeCell ref="G21:J21"/>
    <mergeCell ref="G30:I30"/>
    <mergeCell ref="G1:J1"/>
    <mergeCell ref="G2:J2"/>
    <mergeCell ref="H3:J3"/>
    <mergeCell ref="H4:J4"/>
    <mergeCell ref="H5:J5"/>
    <mergeCell ref="B7:E7"/>
    <mergeCell ref="B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Stone </vt:lpstr>
      <vt:lpstr>Gym</vt:lpstr>
      <vt:lpstr>SHop</vt:lpstr>
      <vt:lpstr>Pool House</vt:lpstr>
      <vt:lpstr>fireplaces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 Ralph</dc:creator>
  <cp:lastModifiedBy>Mjay Wiltbank</cp:lastModifiedBy>
  <dcterms:created xsi:type="dcterms:W3CDTF">2015-06-05T18:17:20Z</dcterms:created>
  <dcterms:modified xsi:type="dcterms:W3CDTF">2026-04-15T19:47:34Z</dcterms:modified>
</cp:coreProperties>
</file>